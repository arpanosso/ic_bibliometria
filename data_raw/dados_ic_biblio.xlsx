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 firstSheet="2" activeTab="2"/>
  </bookViews>
  <sheets>
    <sheet name="Descritores (2)" sheetId="4" state="hidden" r:id="rId1"/>
    <sheet name="(1) Pré Análise" sheetId="5" state="hidden" r:id="rId2"/>
    <sheet name="(2) Levantamento bibliográfico" sheetId="7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D17" i="5"/>
  <c r="H15" i="5"/>
  <c r="H14" i="5"/>
  <c r="H13" i="5"/>
  <c r="H12" i="5"/>
  <c r="H11" i="5"/>
  <c r="H10" i="5"/>
  <c r="H9" i="5"/>
  <c r="H8" i="5"/>
  <c r="H7" i="5"/>
  <c r="H6" i="5"/>
  <c r="G4" i="4"/>
  <c r="G5" i="4"/>
  <c r="G6" i="4"/>
  <c r="G7" i="4"/>
  <c r="G8" i="4"/>
  <c r="G9" i="4"/>
  <c r="G10" i="4"/>
  <c r="G11" i="4"/>
  <c r="G12" i="4"/>
  <c r="G13" i="4"/>
  <c r="E15" i="4"/>
  <c r="D15" i="4"/>
  <c r="C15" i="4"/>
  <c r="H17" i="5" l="1"/>
  <c r="G15" i="4"/>
</calcChain>
</file>

<file path=xl/sharedStrings.xml><?xml version="1.0" encoding="utf-8"?>
<sst xmlns="http://schemas.openxmlformats.org/spreadsheetml/2006/main" count="385" uniqueCount="238">
  <si>
    <t>Ano</t>
  </si>
  <si>
    <t>BDTD</t>
  </si>
  <si>
    <t>Capes</t>
  </si>
  <si>
    <t>Descritores</t>
  </si>
  <si>
    <t>ProQuest</t>
  </si>
  <si>
    <t xml:space="preserve">Total por descritor </t>
  </si>
  <si>
    <t>Total por plataforma</t>
  </si>
  <si>
    <t>inteligência artificial (artificial intelligence)</t>
  </si>
  <si>
    <t>educação ambiental (environmental education)</t>
  </si>
  <si>
    <t>Inteligência artificial e educação ambiental (Artificial intelligence e environmental education)</t>
  </si>
  <si>
    <t>impactos ambientais; tecnologias digitais (environmental impacts of digital technologies)</t>
  </si>
  <si>
    <t>consumo de energia em data centers (energy consumption in data centers)</t>
  </si>
  <si>
    <t>educação crítica e tecnologia (critical education and technology)</t>
  </si>
  <si>
    <t>educação e tecnologia (education and technology)</t>
  </si>
  <si>
    <t>impactos ambientais da inteligência artificial (environmental impacts of artificial intelligence)</t>
  </si>
  <si>
    <t>Levantamento Quantitativo</t>
  </si>
  <si>
    <t>inteligência artificial e recursos naturais (artificial intelligence and natural resources)</t>
  </si>
  <si>
    <t>educação crítica e teoria crítica (critical education and critical theory)</t>
  </si>
  <si>
    <t> 3.366</t>
  </si>
  <si>
    <t xml:space="preserve">&gt;descritor &gt; data: 2020-2025&gt; idioma: portugês &gt; tipo: teses e dissertação&gt; </t>
  </si>
  <si>
    <t>284 </t>
  </si>
  <si>
    <t>1.474 </t>
  </si>
  <si>
    <t xml:space="preserve">Data de busca: </t>
  </si>
  <si>
    <t>Termo de busca</t>
  </si>
  <si>
    <t>Descritor Utilizado</t>
  </si>
  <si>
    <t>("impactos ambientais" AND "tecnologias digitais")</t>
  </si>
  <si>
    <t>("inteligência artificial" OR "artificial intelligence")</t>
  </si>
  <si>
    <t>("educação ambiental" OR "environmental education)</t>
  </si>
  <si>
    <t>("Inteligência artificial" AND "educação ambiental" OR "Artificial intelligence" AND "environmental education")</t>
  </si>
  <si>
    <t>("consumo de energia" AND "data centers" OR "energy consumption" AND "data centers")</t>
  </si>
  <si>
    <t>("educação crítica" AND "tecnologia" OR "critical education" AND "technology")</t>
  </si>
  <si>
    <t>("educação" AND "tecnologia" OR "education" AND "technology")</t>
  </si>
  <si>
    <t>("impactos ambientais" AND "inteligência artificial" OR "environmental impacts" AND "artificial intelligence")</t>
  </si>
  <si>
    <t>("inteligência artificial" AND "recursos naturais" OR "artificial intelligence" AND "natural resources")</t>
  </si>
  <si>
    <t>("educação crítica" AND "teoria crítica" OR "critical education" AND "critical theory")</t>
  </si>
  <si>
    <t xml:space="preserve">Filtro: &gt;descritor &gt; data: 2020-2025&gt; idioma: portugês e inglês &gt; tipo: teses e dissertação&gt; </t>
  </si>
  <si>
    <t>Base</t>
  </si>
  <si>
    <t>Autor</t>
  </si>
  <si>
    <t>https://bdtd.ibict.br/vufind/Record/PUC_SP-1_ce5664e3ad44b3244c1ad19469a54c1d</t>
  </si>
  <si>
    <t>https://bdtd.ibict.br/vufind/Record/IBICT_47dfaa7aaa957b37c259e5844415b08d</t>
  </si>
  <si>
    <t>https://bdtd.ibict.br/vufind/Record/PUC_RIO-1_b43b785eae71411439a85bea6984ee0c</t>
  </si>
  <si>
    <t>https://bdtd.ibict.br/vufind/Record/UFPE_2d33854954818a1e85ab9a2681946052</t>
  </si>
  <si>
    <t>https://bdtd.ibict.br/vufind/Record/UFPR_3372fdca8e82d82d3fdfe1ebc9a123aa</t>
  </si>
  <si>
    <t>https://bdtd.ibict.br/vufind/Record/USP_8589f7ba91ec44e294a14df751e4e53c</t>
  </si>
  <si>
    <t>https://bdtd.ibict.br/vufind/Record/UNICAMP-30_2c616acd0c8cd04ce415ca457a43ff00</t>
  </si>
  <si>
    <t>https://bdtd.ibict.br/vufind/Record/UFV_be4e798a1b7114ef30a4754b173b71e0</t>
  </si>
  <si>
    <t>https://bdtd.ibict.br/vufind/Record/UFV_8cc4f8d4c7b351ca3240b6696bd2682e</t>
  </si>
  <si>
    <t>https://bdtd.ibict.br/vufind/Record/UFV_320ad02aafe768f48c6912bf0d03650a</t>
  </si>
  <si>
    <t>https://bdtd.ibict.br/vufind/Record/UFV_91e668ac7c3a9c051f77e3045357b821</t>
  </si>
  <si>
    <t xml:space="preserve">Nº </t>
  </si>
  <si>
    <t>Título do trabalho</t>
  </si>
  <si>
    <t>https://bdtd.ibict.br/vufind/Record/UFRRJ-1_f0111e1c19ab6108783ce91e2cec91b9</t>
  </si>
  <si>
    <t>https://bdtd.ibict.br/vufind/Record/UECE-0_c80e763ef86909798ff9199dd2c354e3</t>
  </si>
  <si>
    <t>https://bdtd.ibict.br/vufind/Record/UFMG_da81f56fd4c03f32d41a54e2d0ef5562</t>
  </si>
  <si>
    <t>https://bdtd.ibict.br/vufind/Record/UFRRJ-1_9861b66bf19fe5d017079398da8f7327</t>
  </si>
  <si>
    <t>https://bdtd.ibict.br/vufind/Record/UFRN_e3484174c5d53e86a270d0c5cdc16c07</t>
  </si>
  <si>
    <t>https://bdtd.ibict.br/vufind/Record/UFPB_a9a72d85d6f23b59b9d3e18856283504</t>
  </si>
  <si>
    <t>https://bdtd.ibict.br/vufind/Record/UFMA_1ae39d545e455b353cda45aad5133f9a</t>
  </si>
  <si>
    <t>https://bdtd.ibict.br/vufind/Record/UCB_d2131f6f8b2b7479908179aa8c72b18e</t>
  </si>
  <si>
    <t>https://bdtd.ibict.br/vufind/Record/UFF-2_91fe8b51dcc3987bc23ed658efedeeb0</t>
  </si>
  <si>
    <t>https://bdtd.ibict.br/vufind/Record/UNSP_89578b79f7bb32e4781d159eb2d3488c</t>
  </si>
  <si>
    <t>https://bdtd.ibict.br/vufind/Record/UFMS_f082a363ed8469eef9f2cae3d33358d8</t>
  </si>
  <si>
    <t>https://bdtd.ibict.br/vufind/Record/UEM-10_64ace911576f41b79f81eb4a8c47f644</t>
  </si>
  <si>
    <t>II – Impactos ambientais da Inteligência Artificial</t>
  </si>
  <si>
    <t>https://bdtd.ibict.br/vufind/Record/UFSP_2a22e875b6fec5ede63846d13fffd73d</t>
  </si>
  <si>
    <t>https://bdtd.ibict.br/vufind/Record/UFSM_0b38afdea3775b0d42f371c31e229395</t>
  </si>
  <si>
    <t>https://bdtd.ibict.br/vufind/Record/UCS_692380f20ad525198a569bbbd58bd874</t>
  </si>
  <si>
    <t>https://bdtd.ibict.br/vufind/Record/UFPE_1359ea569cdb58d2753fa3e7a0cca06b</t>
  </si>
  <si>
    <t>https://bdtd.ibict.br/vufind/Record/UFSM_a47d8ad334120bd10b761e4285d6f857</t>
  </si>
  <si>
    <t>https://bdtd.ibict.br/vufind/Record/UFJF_1e45d36176c99e8a2e53ee84fb32a443</t>
  </si>
  <si>
    <t>carbono (carbon)</t>
  </si>
  <si>
    <t>Inteligência artificial e seu impacto no desenvolvimento do pensamento crítico</t>
  </si>
  <si>
    <t>Sayad, Alexandre Le Voci</t>
  </si>
  <si>
    <t>Máquinas aprendizes; humanos atarefados. Inteligência artificial e trabalho alienado no “capital-informação”</t>
  </si>
  <si>
    <t>Oliveira, Nahema Nascimento Falleiros Barra de</t>
  </si>
  <si>
    <t>MODELAGEM DE UM CIRCUITO DE TERMOSSIFÃO DE BAIXO IMPACTO AMBIENTAL COM APLICAÇÃO EM RESFRIAMENTO DE ELETRÔNICOS</t>
  </si>
  <si>
    <t>VERONICA DA ROCHA WEAVER</t>
  </si>
  <si>
    <t>Analysis of dependability and sustainability requirements to support the deployment of dense data center architectures</t>
  </si>
  <si>
    <t>VALE, Kádna Maria Alves Camboim</t>
  </si>
  <si>
    <t>Reduzindo o consumo de energia do Hadoop 3.x MapReduce através do energy efficient ethernet</t>
  </si>
  <si>
    <t>Dias, Jorgi Luiz Bolonhezi</t>
  </si>
  <si>
    <t>Energy-efficient virtual network function placement based on metaheuristic approaches</t>
  </si>
  <si>
    <t>Mosaiyebzadeh, Fatemeh</t>
  </si>
  <si>
    <t>Uma abordagem híbrida para alterar o design típico de data center</t>
  </si>
  <si>
    <t>Storti, Gabriel José,</t>
  </si>
  <si>
    <t>O impacto da mineração de lítio sobre a diversidade e funções ecossistêmicas desempenhadas por besouros rola-bosta</t>
  </si>
  <si>
    <t>Silva, Fernanda de Sá da</t>
  </si>
  <si>
    <t>Influência de diferentes concentrações do rejeito da mineração do lítio sobre a emergência e o desenvolvimento de quatro espécies de leguminosas forrageiras</t>
  </si>
  <si>
    <t>Scutari, Victor de Paula</t>
  </si>
  <si>
    <t>Efeito do rejeito de mineração de lítio e déficit hídrico no crescimento inicial e parâmetros fotossintéticos em Dimorphandra exaltata Schott</t>
  </si>
  <si>
    <t>Rocha, Ana Carolina Martins</t>
  </si>
  <si>
    <t>Viabilidade do uso de solvente eutético para dissolução seletiva de cobalto e lítio oriundo de baterias íon-lítio descartadas</t>
  </si>
  <si>
    <t>Silva, Adriane Toledo da</t>
  </si>
  <si>
    <t>Avaliação do Ciclo de Vida da produção e reciclagem de ímãs de terras raras</t>
  </si>
  <si>
    <t>Campos, Isadora Marcela de</t>
  </si>
  <si>
    <t>A ordem do discurso do desenvolvimento sustentável e o lítio verde</t>
  </si>
  <si>
    <t>Aguiar, Caroline Boletta de Oliveira</t>
  </si>
  <si>
    <t>Mineração no Semiárido brasileiro: o saque mineral nos territórios em disputa</t>
  </si>
  <si>
    <t>Silva, Fredson Pereira Da</t>
  </si>
  <si>
    <t>A insustentável leveza do capitalismo globalizado e a sustentável austereza do socioambientalismo: uma confrontação socioambiental e político-econômica entre o mercado de lítio e o desenvolvimento sustentável brasileiro</t>
  </si>
  <si>
    <t>Arthur Mariano Peixoto</t>
  </si>
  <si>
    <t>Terras Raras (TR): um elemento-chave para a promoção da Quarta Revolução Industrial no Brasil?</t>
  </si>
  <si>
    <t>Silva, Ryan de Albuquerque da</t>
  </si>
  <si>
    <t>Uso de processamento paralelo e distribuído no plano de controle de redes definidas por software para aumento da eficiência energética em redes de datacenters</t>
  </si>
  <si>
    <t>Oliveira, Tadeu Ferreira</t>
  </si>
  <si>
    <t>O impacto do uso das tecnologias disruptivas da sociedade Informacional nas relações de trabalho: conformação da regulação normativa sobre inteligência artificial ao valor social do trabalho</t>
  </si>
  <si>
    <t>Carvalho, Marina Morais de</t>
  </si>
  <si>
    <t>Sustentabilidade na nuvem: um modelo de eficiência energética em ambientes de computação verde</t>
  </si>
  <si>
    <t>REIS, Thiago Nelson Faria dos</t>
  </si>
  <si>
    <t>Gestão de infraestrutura em data centers: alocação automatizada de recursos em ambientes virtualizados</t>
  </si>
  <si>
    <t>Aguiar, Raphael Alves de</t>
  </si>
  <si>
    <t>ChatGPT e Inteligência Artificial Generativa: contribuições a partir do marxismo e da Economia Política da Comunicação</t>
  </si>
  <si>
    <t>Pfeil, André Jorge Cavallo</t>
  </si>
  <si>
    <t>Tecnologia, ubiquidade e pervasividade: por uma taxonomia da Inteligência Artificial (IA) baseada na Pedagogia Histórico Crítica</t>
  </si>
  <si>
    <t>Patricio, Thiago Seti</t>
  </si>
  <si>
    <t>Projeto ConsciêncIA: Uma Plataforma para Auxílio no Ensino de Inteligência Artificial na Educação Básica</t>
  </si>
  <si>
    <t>Jorge Emilio da Costa Walder</t>
  </si>
  <si>
    <t>Uso da plataforma chatgpt e adobe express na aprendizagem ativa e crítica: produção de vídeos em sala de aula com os alunos do ensino médio na disciplina de química</t>
  </si>
  <si>
    <t>Mercês, Guilherme Jansen Lacerda</t>
  </si>
  <si>
    <t>Educação híbrida: os desafios da docência e o novo fazer pedagógico na era digital</t>
  </si>
  <si>
    <t>Cechin, Lenice Medianeira</t>
  </si>
  <si>
    <t>A inteligência artificial como prática mediadora para o ensino e aprendizagem na educação</t>
  </si>
  <si>
    <t>Domeneghini, Daiana</t>
  </si>
  <si>
    <t>Tecnologias para adiar o fim : tempo, poder e subjetividade no regime de visibilidade contemporâneo</t>
  </si>
  <si>
    <t>PESSOA, Mirella Ramos Costa</t>
  </si>
  <si>
    <t>Implantação de bancos de dados distribuídos em um cluster de baixo consumo</t>
  </si>
  <si>
    <t>Silva, Lucas Ferreira da</t>
  </si>
  <si>
    <t>Redes neurais artificiais adaptativas: abordagem evolutiva para melhoria de performance e eficiência</t>
  </si>
  <si>
    <t>Fonseca, Tales Lima</t>
  </si>
  <si>
    <t>x</t>
  </si>
  <si>
    <t>I – Consciência crítica e Educação Ambiental</t>
  </si>
  <si>
    <t>https://bdtd.ibict.br/vufind/Record/NOVE_c1f733619d0dd6c076d0f5aeda7e0e22</t>
  </si>
  <si>
    <t>https://bdtd.ibict.br/vufind/Record/UCB_456a2c854311daeb0c5fc30a50a78510</t>
  </si>
  <si>
    <t>https://bdtd.ibict.br/vufind/Record/USP_d2393143e54ceb647b5406f61d1bca06</t>
  </si>
  <si>
    <t>https://bdtd.ibict.br/vufind/Record/PUC_SP-1_2362f8a4af7df07ddb4bd74bbe2f4085</t>
  </si>
  <si>
    <t>https://bdtd.ibict.br/vufind/Record/PUC_GO_38fb79ceff8fd12228e629b8311aa6e7</t>
  </si>
  <si>
    <t>https://bdtd.ibict.br/vufind/Record/UFAM_987bf729c00ce34c6f0d250ce6780c80</t>
  </si>
  <si>
    <t>https://bdtd.ibict.br/vufind/Record/UNSP_db4084978b45d45be4fd1b132207daa4</t>
  </si>
  <si>
    <t>https://bdtd.ibict.br/vufind/Record/UFG-2_bdae9620122874fe874f985e64f4129f</t>
  </si>
  <si>
    <t>https://sucupira-legado.capes.gov.br/sucupira/public/consultas/coleta/trabalhoConclusao/viewTrabalhoConclusao.jsf?popup=true&amp;id_trabalho=13459428</t>
  </si>
  <si>
    <t>https://sucupira-legado.capes.gov.br/sucupira/public/consultas/coleta/trabalhoConclusao/viewTrabalhoConclusao.jsf?popup=true&amp;id_trabalho=13062696</t>
  </si>
  <si>
    <t>https://sucupira-legado.capes.gov.br/sucupira/public/consultas/coleta/trabalhoConclusao/viewTrabalhoConclusao.jsf?popup=true&amp;id_trabalho=13874727</t>
  </si>
  <si>
    <t>CAPES</t>
  </si>
  <si>
    <t>https://sucupira-legado.capes.gov.br/sucupira/public/consultas/coleta/trabalhoConclusao/viewTrabalhoConclusao.jsf?popup=true&amp;id_trabalho=10976832</t>
  </si>
  <si>
    <t>https://sucupira-legado.capes.gov.br/sucupira/public/consultas/coleta/trabalhoConclusao/viewTrabalhoConclusao.jsf?popup=true&amp;id_trabalho=14124041</t>
  </si>
  <si>
    <t>https://sucupira-legado.capes.gov.br/sucupira/public/consultas/coleta/trabalhoConclusao/viewTrabalhoConclusao.jsf?popup=true&amp;id_trabalho=14232035</t>
  </si>
  <si>
    <t>https://sucupira-legado.capes.gov.br/sucupira/public/consultas/coleta/trabalhoConclusao/viewTrabalhoConclusao.jsf?popup=true&amp;id_trabalho=14841174</t>
  </si>
  <si>
    <t>https://sucupira-legado.capes.gov.br/sucupira/public/consultas/coleta/trabalhoConclusao/viewTrabalhoConclusao.jsf?popup=true&amp;id_trabalho=14802861</t>
  </si>
  <si>
    <t>https://sucupira-legado.capes.gov.br/sucupira/public/consultas/coleta/trabalhoConclusao/viewTrabalhoConclusao.jsf?popup=true&amp;id_trabalho=14357652</t>
  </si>
  <si>
    <t>https://sucupira-legado.capes.gov.br/sucupira/public/consultas/coleta/trabalhoConclusao/viewTrabalhoConclusao.jsf?popup=true&amp;id_trabalho=9283234</t>
  </si>
  <si>
    <t>https://sucupira-legado.capes.gov.br/sucupira/public/consultas/coleta/trabalhoConclusao/viewTrabalhoConclusao.jsf?popup=true&amp;id_trabalho=12918383</t>
  </si>
  <si>
    <t>https://sucupira-legado.capes.gov.br/sucupira/public/consultas/coleta/trabalhoConclusao/viewTrabalhoConclusao.jsf?popup=true&amp;id_trabalho=14957447</t>
  </si>
  <si>
    <t>https://sucupira-legado.capes.gov.br/sucupira/public/consultas/coleta/trabalhoConclusao/viewTrabalhoConclusao.jsf?popup=true&amp;id_trabalho=13807408</t>
  </si>
  <si>
    <t>Inteligência artificial, educação e pensamento complexo: caminhos para religação de saberes</t>
  </si>
  <si>
    <t>PRISCILA CARLA SORRILHA GONSALES</t>
  </si>
  <si>
    <t>Avaliação de Atributos de Dependabilidade e Sustentabilidade em Sistemas de Refrigeração de Data Centers</t>
  </si>
  <si>
    <t>LUBNNIA MORAIS FLORENCIO DE SOUZA</t>
  </si>
  <si>
    <t>OS IMPACTOS SOCIAIS NEGATIVOS DA INTELIGÊNCIA ARTIFICIAL E RECOMENDAÇÕES DE MITIGAÇÃO: UM ESTUDO EXPLORATÓRIO</t>
  </si>
  <si>
    <t>VANESSA MARQUES PAES</t>
  </si>
  <si>
    <t>PERFORMANCE AND ENERGY EFFICIENCY ANALYSIS OF MACHINE LEARNING ALGORITHMS TOWARDS GREEN AI: A CASE STUDY OF DECISION TREE ALGORITHMS</t>
  </si>
  <si>
    <t>GABRIELI DUTRA SILVA</t>
  </si>
  <si>
    <t>TALES LIMA FONSECA</t>
  </si>
  <si>
    <t>REVOLUÇÃO DIGITAL NAS OPERAÇÕES DE DESMONTE DE ROCHAS</t>
  </si>
  <si>
    <t>VITOR FONSECA DE BARCELOS</t>
  </si>
  <si>
    <t>Strategies for operating and sizing low-carbon cloud data centers</t>
  </si>
  <si>
    <t>MIGUEL FELIPE SILVA VASCONCELOS</t>
  </si>
  <si>
    <t>AUMENTO DA EFICIÊNCIA ENERGÉTICA DE PEQUENOS E MÉDIOS DATA CENTERS BASEADO EM MODELO OPENSOURCE DE BAIXO CUSTO</t>
  </si>
  <si>
    <t>ALEXANDRE BARBOSA DE SOUZA</t>
  </si>
  <si>
    <t>A INTELIGÊNCIA ARTIFICIAL E SEU IMPACTO NO COTIDIANO: OS DESAFIOS DA REGULAMENTAÇÃO NO BRASIL</t>
  </si>
  <si>
    <t>LUCAS RABELLO CARTOLARI</t>
  </si>
  <si>
    <t>A Inteligência Artificial e a Educação: uma investigação sobre como docentes percebem a IA e suas potenciais consequências educativas.</t>
  </si>
  <si>
    <t>RICARDO LIMA PRACIANO DE SOUSA</t>
  </si>
  <si>
    <t>IDENTIFICAÇÃO DE FALÁCIAS LÓGICAS FORTALECENDO O PENSAMENTO CRÍTICO PARA O CONTEXTO EDUCACIONAL</t>
  </si>
  <si>
    <t>IVAN MARTINS SANTANA</t>
  </si>
  <si>
    <t>A TEORIA CRÍTICA FRANKFURTIANA, FREUD E A EDUCAÇÃO</t>
  </si>
  <si>
    <t>MARCIA CRISTINA FERNANDES PEREIRA BESSA</t>
  </si>
  <si>
    <t>ECONOMIA CIRCULAR NA INDÚSTRIA DE MINERAÇÃO: barreiras para difusão da inovação ambiental</t>
  </si>
  <si>
    <t>RAISSA HELENA PAIVA APOLINARIO</t>
  </si>
  <si>
    <t>A educação 4.0 à luz da teoria crítica da tecnologia de Andrew Feenberg</t>
  </si>
  <si>
    <t>Norte, Andréa Pereira</t>
  </si>
  <si>
    <t>Desinformação gerada por inteligência artificial: abordagens teóricas para estratégias de mitigação</t>
  </si>
  <si>
    <t>Santos, Patrick Renilton Amorim dos</t>
  </si>
  <si>
    <t>Ensino de ciências: A utilização da Inteligência Artificial e de metodologias ativas para promover o desenvolvimento do pensamento científico</t>
  </si>
  <si>
    <t>Silva, Samira Andrade da</t>
  </si>
  <si>
    <t>Aproximações possíveis (e necessárias) entre Inteligência Artificial e escola</t>
  </si>
  <si>
    <t>Zylbersztajn, Moisés</t>
  </si>
  <si>
    <t>A teoria crítica frankfurtiana, Freud e a educação</t>
  </si>
  <si>
    <t>Bessa, Márcia Cristina Fernandes Pereira</t>
  </si>
  <si>
    <t>A integração das tecnologias digitais às salas de aula: características e enquadramento a partir da teoria crítica</t>
  </si>
  <si>
    <t>Santos, Fabiano Pereira dos</t>
  </si>
  <si>
    <t>Alfabetização e tecnologia: uma análise na perspectiva da Pedagogia Histórico-Crítica</t>
  </si>
  <si>
    <t>Darius, Rebeca Pizza Pancotte</t>
  </si>
  <si>
    <t>Formação humana e racionalidade instrumental à luz da teoria crítica da escola de Frankfurt</t>
  </si>
  <si>
    <t>Terra, Welma Alegna</t>
  </si>
  <si>
    <t>PROQUEST</t>
  </si>
  <si>
    <t>Evaluation Education in a World in Transformation: The Way Forward</t>
  </si>
  <si>
    <t>Joppert, Marcia</t>
  </si>
  <si>
    <t>https://www-webofscience-com.ez87.periodicos.capes.gov.br/wos/pqdt/full-record/PQDT:88042514</t>
  </si>
  <si>
    <t>Lack of Awareness of the Environmental Impacts of Artificial Intelligence</t>
  </si>
  <si>
    <t>Smith, Shaina</t>
  </si>
  <si>
    <t>https://www-webofscience-com.ez87.periodicos.capes.gov.br/wos/pqdt/full-record/PQDT:121114563</t>
  </si>
  <si>
    <t>https://www-webofscience-com.ez87.periodicos.capes.gov.br/wos/pqdt/full-record/PQDT:84552731</t>
  </si>
  <si>
    <t>Carbon Accounting for Sustainable Computing in Cloud Provisioned Data Centers</t>
  </si>
  <si>
    <t>McMillan, Khaalid</t>
  </si>
  <si>
    <t>https://www-webofscience-com.ez87.periodicos.capes.gov.br/wos/pqdt/full-record/PQDT:85221505</t>
  </si>
  <si>
    <t>Bridges, Lauren</t>
  </si>
  <si>
    <t>The Hidden Human and Environmental Costs of the Digital Growth Machine</t>
  </si>
  <si>
    <t>Wilson, Imogen G.</t>
  </si>
  <si>
    <t>https://www-webofscience-com.ez87.periodicos.capes.gov.br/wos/pqdt/full-record/PQDT:68304083</t>
  </si>
  <si>
    <t>Low Resolution .JPGs and Collaborative Networks: Dreaming a Sustainable Digital Archive</t>
  </si>
  <si>
    <t>Computer Capitalism: Labor, Health, and Environment in the US Computer Industry</t>
  </si>
  <si>
    <t>Quinn, Adam</t>
  </si>
  <si>
    <t>https://www-webofscience-com.ez87.periodicos.capes.gov.br/wos/pqdt/full-record/PQDT:160321596</t>
  </si>
  <si>
    <t>Datascapes: Envisioning a New Kind of Data Center</t>
  </si>
  <si>
    <t>Pfeiffer, Jessica</t>
  </si>
  <si>
    <t>https://www-webofscience-com.ez87.periodicos.capes.gov.br/wos/pqdt/full-record/PQDT:67812757</t>
  </si>
  <si>
    <t>Improving Carbon, Cost, and Energy Efficiency of Large Scale Systems via Workload Analysis</t>
  </si>
  <si>
    <t>Everman, Bradford W.</t>
  </si>
  <si>
    <t>https://www-webofscience-com.ez87.periodicos.capes.gov.br/wos/pqdt/full-record/PQDT:103076203</t>
  </si>
  <si>
    <t>Mitigating Cloud Computing Emissions at the National Level: Policy Responses and Carbon Accounting Methods for Carbon-Efficient Cloud Infrastructure Governance</t>
  </si>
  <si>
    <t>Soares, Ian Varela</t>
  </si>
  <si>
    <t>https://www-webofscience-com.ez87.periodicos.capes.gov.br/wos/pqdt/full-record/PQDT:161219081</t>
  </si>
  <si>
    <t>Machine Learning and Critical Thinking: Applying Machine Learning Algorithms to the Scoring of the Critical Thinking Assessment Test (CAT)</t>
  </si>
  <si>
    <t>Shanks, Kyle Wayne</t>
  </si>
  <si>
    <t>https://www-webofscience-com.ez87.periodicos.capes.gov.br/wos/pqdt/full-record/PQDT:67820433</t>
  </si>
  <si>
    <t>The Theory and Practice of Critical Experiential Pedagogy: Enacting a Critical Experiential Education</t>
  </si>
  <si>
    <t>Thomas, Colleen A.</t>
  </si>
  <si>
    <t>https://www-webofscience-com.ez87.periodicos.capes.gov.br/wos/pqdt/full-record/PQDT:85146723</t>
  </si>
  <si>
    <t>Parallel Minds: A Thematic Literature Review of Artificial Intelligence in Education</t>
  </si>
  <si>
    <t>Fanning, Sydney</t>
  </si>
  <si>
    <t>https://www-webofscience-com.ez87.periodicos.capes.gov.br/wos/pqdt/full-record/PQDT:122834947</t>
  </si>
  <si>
    <t>Inside Ai: How Artificial Intelligence is Concentrating Power</t>
  </si>
  <si>
    <t>Kalluri, Pratyusha Ria</t>
  </si>
  <si>
    <t>https://www-webofscience-com.ez87.periodicos.capes.gov.br/wos/pqdt/full-record/PQDT:121106503</t>
  </si>
  <si>
    <t>Learning to Teach with Technology: Interest Convergence, Identity, and Designing for Novice Teacher Critical Technology Literacy</t>
  </si>
  <si>
    <t>https://www-webofscience-com.ez87.periodicos.capes.gov.br/wos/pqdt/full-record/PQDT:66834396</t>
  </si>
  <si>
    <t>Gravell, Jamie Dara</t>
  </si>
  <si>
    <t>link_de_acesso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</si>
</sst>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333333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/>
    <xf numFmtId="0" fontId="3" fillId="0" borderId="0" xfId="0" applyFont="1"/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2" applyNumberFormat="1" applyFont="1"/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0" borderId="0" xfId="0" applyFont="1"/>
    <xf numFmtId="164" fontId="2" fillId="3" borderId="0" xfId="0" applyNumberFormat="1" applyFont="1" applyFill="1"/>
    <xf numFmtId="0" fontId="7" fillId="2" borderId="1" xfId="0" applyFont="1" applyFill="1" applyBorder="1"/>
    <xf numFmtId="164" fontId="5" fillId="0" borderId="0" xfId="2" applyNumberFormat="1" applyFont="1" applyAlignment="1">
      <alignment horizontal="center"/>
    </xf>
    <xf numFmtId="3" fontId="8" fillId="0" borderId="0" xfId="0" applyNumberFormat="1" applyFont="1"/>
    <xf numFmtId="0" fontId="8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19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rgb="FF333333"/>
        <name val="Arial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rgb="FF333333"/>
        <name val="Arial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vertAlign val="baseline"/>
        <name val="Aptos Narrow"/>
        <scheme val="none"/>
      </font>
    </dxf>
    <dxf>
      <font>
        <strike val="0"/>
        <outline val="0"/>
        <shadow val="0"/>
        <vertAlign val="baseline"/>
        <name val="Aptos Narrow"/>
        <scheme val="minor"/>
      </font>
    </dxf>
    <dxf>
      <font>
        <b val="0"/>
        <strike val="0"/>
        <outline val="0"/>
        <shadow val="0"/>
        <vertAlign val="baseline"/>
        <color rgb="FF333333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vertAlign val="baseline"/>
        <name val="Aptos Narrow"/>
        <scheme val="none"/>
      </font>
    </dxf>
    <dxf>
      <font>
        <strike val="0"/>
        <outline val="0"/>
        <shadow val="0"/>
        <vertAlign val="baseline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33" displayName="Tabela33" ref="B3:E13" totalsRowShown="0" headerRowDxfId="18" dataDxfId="17" headerRowCellStyle="Hiperlink">
  <autoFilter ref="B3:E13"/>
  <tableColumns count="4">
    <tableColumn id="1" name="Descritores" dataDxfId="16"/>
    <tableColumn id="2" name="BDTD" dataDxfId="15"/>
    <tableColumn id="7" name="Capes" dataDxfId="14"/>
    <tableColumn id="8" name="ProQuest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ela334" displayName="Tabela334" ref="B5:F15" totalsRowShown="0" headerRowDxfId="12" dataDxfId="11" headerRowCellStyle="Hiperlink">
  <autoFilter ref="B5:F15"/>
  <tableColumns count="5">
    <tableColumn id="1" name="Termo de busca" dataDxfId="10"/>
    <tableColumn id="3" name="Descritor Utilizado" dataDxfId="9"/>
    <tableColumn id="2" name="BDTD" dataDxfId="8"/>
    <tableColumn id="7" name="Capes" dataDxfId="7" dataCellStyle="Vírgula"/>
    <tableColumn id="8" name="ProQuest" dataDxfId="6" dataCellStyle="Vírgul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ela5" displayName="Tabela5" ref="A1:H66" totalsRowShown="0" headerRowDxfId="5">
  <autoFilter ref="A1:H66"/>
  <tableColumns count="8">
    <tableColumn id="1" name="Nº " dataDxfId="4"/>
    <tableColumn id="2" name="Base"/>
    <tableColumn id="3" name="Título do trabalho" dataDxfId="3"/>
    <tableColumn id="4" name="Ano" dataDxfId="2"/>
    <tableColumn id="5" name="Autor"/>
    <tableColumn id="6" name="I – Consciência crítica e Educação Ambiental" dataDxfId="1"/>
    <tableColumn id="7" name="II – Impactos ambientais da Inteligência Artificial" dataDxfId="0"/>
    <tableColumn id="8" name="link_de_acess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periodicos.capes.gov.br/" TargetMode="External"/><Relationship Id="rId1" Type="http://schemas.openxmlformats.org/officeDocument/2006/relationships/hyperlink" Target="https://bdtd.ibict.br/vufind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www.periodicos.capes.gov.br/" TargetMode="External"/><Relationship Id="rId1" Type="http://schemas.openxmlformats.org/officeDocument/2006/relationships/hyperlink" Target="https://bdtd.ibict.br/vufind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bdtd.ibict.br/vufind/Author/Home?author=Campos%2C+Isadora+Marcela+de" TargetMode="External"/><Relationship Id="rId18" Type="http://schemas.openxmlformats.org/officeDocument/2006/relationships/hyperlink" Target="https://bdtd.ibict.br/vufind/Author/Home?author=Oliveira%2C+Tadeu+Ferreira" TargetMode="External"/><Relationship Id="rId26" Type="http://schemas.openxmlformats.org/officeDocument/2006/relationships/hyperlink" Target="https://bdtd.ibict.br/vufind/Author/Home?author=Cechin%2C+Lenice+Medianeira" TargetMode="External"/><Relationship Id="rId39" Type="http://schemas.openxmlformats.org/officeDocument/2006/relationships/hyperlink" Target="https://www-webofscience-com.ez87.periodicos.capes.gov.br/wos/pqdt/general-summary?queryJson=%5B%7B%22rowBoolean%22:null,%22rowField%22:%22AU%22,%22rowText%22:%22Bridges,%20Lauren%22%7D%5D&amp;eventMode=oneClickSearch" TargetMode="External"/><Relationship Id="rId3" Type="http://schemas.openxmlformats.org/officeDocument/2006/relationships/hyperlink" Target="https://bdtd.ibict.br/vufind/Author/Home?author=Oliveira%2C+Nahema+Nascimento+Falleiros+Barra+de" TargetMode="External"/><Relationship Id="rId21" Type="http://schemas.openxmlformats.org/officeDocument/2006/relationships/hyperlink" Target="https://bdtd.ibict.br/vufind/Author/Home?author=Aguiar%2C+Raphael+Alves+de" TargetMode="External"/><Relationship Id="rId34" Type="http://schemas.openxmlformats.org/officeDocument/2006/relationships/hyperlink" Target="https://bdtd.ibict.br/vufind/Author/Home?author=Santos%2C+Fabiano+Pereira+dos" TargetMode="External"/><Relationship Id="rId42" Type="http://schemas.openxmlformats.org/officeDocument/2006/relationships/hyperlink" Target="https://www-webofscience-com.ez87.periodicos.capes.gov.br/wos/pqdt/general-summary?queryJson=%5B%7B%22rowBoolean%22:null,%22rowField%22:%22AU%22,%22rowText%22:%22Pfeiffer,%20Jessica%22%7D%5D&amp;eventMode=oneClickSearch" TargetMode="External"/><Relationship Id="rId47" Type="http://schemas.openxmlformats.org/officeDocument/2006/relationships/hyperlink" Target="https://www-webofscience-com.ez87.periodicos.capes.gov.br/wos/pqdt/general-summary?queryJson=%5B%7B%22rowBoolean%22:null,%22rowField%22:%22AU%22,%22rowText%22:%22Thomas,%20Colleen%20A.%22%7D%5D&amp;eventMode=oneClickSearch" TargetMode="External"/><Relationship Id="rId50" Type="http://schemas.openxmlformats.org/officeDocument/2006/relationships/hyperlink" Target="https://www-webofscience-com.ez87.periodicos.capes.gov.br/wos/pqdt/full-record/PQDT:122834947" TargetMode="External"/><Relationship Id="rId7" Type="http://schemas.openxmlformats.org/officeDocument/2006/relationships/hyperlink" Target="https://bdtd.ibict.br/vufind/Author/Home?author=Mosaiyebzadeh%2C+Fatemeh" TargetMode="External"/><Relationship Id="rId12" Type="http://schemas.openxmlformats.org/officeDocument/2006/relationships/hyperlink" Target="https://bdtd.ibict.br/vufind/Author/Home?author=Silva%2C+Adriane+Toledo+da" TargetMode="External"/><Relationship Id="rId17" Type="http://schemas.openxmlformats.org/officeDocument/2006/relationships/hyperlink" Target="https://bdtd.ibict.br/vufind/Author/Home?author=Silva%2C+Ryan+de+Albuquerque+da" TargetMode="External"/><Relationship Id="rId25" Type="http://schemas.openxmlformats.org/officeDocument/2006/relationships/hyperlink" Target="https://bdtd.ibict.br/vufind/Author/Home?author=Merc%C3%AAs%2C+Guilherme+Jansen+Lacerda+%5BUNIFESP%5D" TargetMode="External"/><Relationship Id="rId33" Type="http://schemas.openxmlformats.org/officeDocument/2006/relationships/hyperlink" Target="https://bdtd.ibict.br/vufind/Author/Home?author=Bessa%2C+M%C3%A1rcia+Cristina+Fernandes+Pereira" TargetMode="External"/><Relationship Id="rId38" Type="http://schemas.openxmlformats.org/officeDocument/2006/relationships/hyperlink" Target="https://www-webofscience-com.ez87.periodicos.capes.gov.br/wos/pqdt/general-summary?queryJson=%5B%7B%22rowBoolean%22:null,%22rowField%22:%22AU%22,%22rowText%22:%22McMillan,%20Khaalid%22%7D%5D&amp;eventMode=oneClickSearch" TargetMode="External"/><Relationship Id="rId46" Type="http://schemas.openxmlformats.org/officeDocument/2006/relationships/hyperlink" Target="https://www-webofscience-com.ez87.periodicos.capes.gov.br/wos/pqdt/general-summary?queryJson=%5B%7B%22rowBoolean%22:null,%22rowField%22:%22AU%22,%22rowText%22:%22Shanks,%20Kyle%20Wayne%22%7D%5D&amp;eventMode=oneClickSearch" TargetMode="External"/><Relationship Id="rId2" Type="http://schemas.openxmlformats.org/officeDocument/2006/relationships/hyperlink" Target="https://bdtd.ibict.br/vufind/Author/Home?author=Sayad%2C+Alexandre+Le+Voci" TargetMode="External"/><Relationship Id="rId16" Type="http://schemas.openxmlformats.org/officeDocument/2006/relationships/hyperlink" Target="https://bdtd.ibict.br/vufind/Author/Home?author=Arthur+Mariano+Peixoto" TargetMode="External"/><Relationship Id="rId20" Type="http://schemas.openxmlformats.org/officeDocument/2006/relationships/hyperlink" Target="https://bdtd.ibict.br/vufind/Author/Home?author=REIS%2C+Thiago+Nelson+Faria+dos" TargetMode="External"/><Relationship Id="rId29" Type="http://schemas.openxmlformats.org/officeDocument/2006/relationships/hyperlink" Target="https://bdtd.ibict.br/vufind/Author/Home?author=Silva%2C+Lucas+Ferreira+da" TargetMode="External"/><Relationship Id="rId41" Type="http://schemas.openxmlformats.org/officeDocument/2006/relationships/hyperlink" Target="https://www-webofscience-com.ez87.periodicos.capes.gov.br/wos/pqdt/general-summary?queryJson=%5B%7B%22rowBoolean%22:null,%22rowField%22:%22AU%22,%22rowText%22:%22Quinn,%20Adam%22%7D%5D&amp;eventMode=oneClickSearch" TargetMode="External"/><Relationship Id="rId1" Type="http://schemas.openxmlformats.org/officeDocument/2006/relationships/hyperlink" Target="https://bdtd.ibict.br/vufind/Record/UEM-10_64ace911576f41b79f81eb4a8c47f644" TargetMode="External"/><Relationship Id="rId6" Type="http://schemas.openxmlformats.org/officeDocument/2006/relationships/hyperlink" Target="https://bdtd.ibict.br/vufind/Author/Home?author=Dias%2C+Jorgi+Luiz+Bolonhezi" TargetMode="External"/><Relationship Id="rId11" Type="http://schemas.openxmlformats.org/officeDocument/2006/relationships/hyperlink" Target="https://bdtd.ibict.br/vufind/Author/Home?author=Rocha%2C+Ana+Carolina+Martins" TargetMode="External"/><Relationship Id="rId24" Type="http://schemas.openxmlformats.org/officeDocument/2006/relationships/hyperlink" Target="https://bdtd.ibict.br/vufind/Author/Home?author=Jorge+Emilio+da+Costa+Walder" TargetMode="External"/><Relationship Id="rId32" Type="http://schemas.openxmlformats.org/officeDocument/2006/relationships/hyperlink" Target="https://bdtd.ibict.br/vufind/Author/Home?author=Zylbersztajn%2C+Mois%C3%A9s" TargetMode="External"/><Relationship Id="rId37" Type="http://schemas.openxmlformats.org/officeDocument/2006/relationships/hyperlink" Target="https://www-webofscience-com.ez87.periodicos.capes.gov.br/wos/pqdt/general-summary?queryJson=%5B%7B%22rowBoolean%22:null,%22rowField%22:%22AU%22,%22rowText%22:%22Smith,%20Shaina%22%7D%5D&amp;eventMode=oneClickSearch" TargetMode="External"/><Relationship Id="rId40" Type="http://schemas.openxmlformats.org/officeDocument/2006/relationships/hyperlink" Target="https://www-webofscience-com.ez87.periodicos.capes.gov.br/wos/pqdt/general-summary?queryJson=%5B%7B%22rowBoolean%22:null,%22rowField%22:%22AU%22,%22rowText%22:%22Wilson,%20Imogen%20G.%22%7D%5D&amp;eventMode=oneClickSearch" TargetMode="External"/><Relationship Id="rId45" Type="http://schemas.openxmlformats.org/officeDocument/2006/relationships/hyperlink" Target="https://www-webofscience-com.ez87.periodicos.capes.gov.br/wos/pqdt/general-summary?queryJson=%5B%7B%22rowBoolean%22:null,%22rowField%22:%22AU%22,%22rowText%22:%22Joppert,%20Marcia%22%7D%5D&amp;eventMode=oneClickSearch" TargetMode="External"/><Relationship Id="rId5" Type="http://schemas.openxmlformats.org/officeDocument/2006/relationships/hyperlink" Target="https://bdtd.ibict.br/vufind/Author/Home?author=VALE%2C+K%C3%A1dna+Maria+Alves+Camboim" TargetMode="External"/><Relationship Id="rId15" Type="http://schemas.openxmlformats.org/officeDocument/2006/relationships/hyperlink" Target="https://bdtd.ibict.br/vufind/Author/Home?author=Silva%2C+Fredson+Pereira+Da" TargetMode="External"/><Relationship Id="rId23" Type="http://schemas.openxmlformats.org/officeDocument/2006/relationships/hyperlink" Target="https://bdtd.ibict.br/vufind/Author/Home?author=Patricio%2C+Thiago+Seti+%5BUNESP%5D" TargetMode="External"/><Relationship Id="rId28" Type="http://schemas.openxmlformats.org/officeDocument/2006/relationships/hyperlink" Target="https://bdtd.ibict.br/vufind/Author/Home?author=PESSOA%2C+Mirella+Ramos+Costa" TargetMode="External"/><Relationship Id="rId36" Type="http://schemas.openxmlformats.org/officeDocument/2006/relationships/hyperlink" Target="https://www-webofscience-com.ez87.periodicos.capes.gov.br/wos/pqdt/general-summary?queryJson=%5B%7B%22rowBoolean%22:null,%22rowField%22:%22AU%22,%22rowText%22:%22Joppert,%20Marcia%22%7D%5D&amp;eventMode=oneClickSearch" TargetMode="External"/><Relationship Id="rId49" Type="http://schemas.openxmlformats.org/officeDocument/2006/relationships/hyperlink" Target="https://www-webofscience-com.ez87.periodicos.capes.gov.br/wos/pqdt/general-summary?queryJson=%5B%7B%22rowBoolean%22:null,%22rowField%22:%22AU%22,%22rowText%22:%22Gravell,%20Jamie%20Dara%22%7D%5D&amp;eventMode=oneClickSearch" TargetMode="External"/><Relationship Id="rId10" Type="http://schemas.openxmlformats.org/officeDocument/2006/relationships/hyperlink" Target="https://bdtd.ibict.br/vufind/Author/Home?author=Scutari%2C+Victor+de+Paula" TargetMode="External"/><Relationship Id="rId19" Type="http://schemas.openxmlformats.org/officeDocument/2006/relationships/hyperlink" Target="https://bdtd.ibict.br/vufind/Author/Home?author=Carvalho%2C+Marina+Morais+de" TargetMode="External"/><Relationship Id="rId31" Type="http://schemas.openxmlformats.org/officeDocument/2006/relationships/hyperlink" Target="https://bdtd.ibict.br/vufind/Author/Home?author=Silva%2C+Samira+Andrade+da" TargetMode="External"/><Relationship Id="rId44" Type="http://schemas.openxmlformats.org/officeDocument/2006/relationships/hyperlink" Target="https://www-webofscience-com.ez87.periodicos.capes.gov.br/wos/pqdt/general-summary?queryJson=%5B%7B%22rowBoolean%22:null,%22rowField%22:%22AU%22,%22rowText%22:%22Soares,%20Ian%20Varela%22%7D%5D&amp;eventMode=oneClickSearch" TargetMode="External"/><Relationship Id="rId4" Type="http://schemas.openxmlformats.org/officeDocument/2006/relationships/hyperlink" Target="https://bdtd.ibict.br/vufind/Author/Home?author=VERONICA+DA+ROCHA+WEAVER" TargetMode="External"/><Relationship Id="rId9" Type="http://schemas.openxmlformats.org/officeDocument/2006/relationships/hyperlink" Target="https://bdtd.ibict.br/vufind/Author/Home?author=Silva%2C+Fernanda+de+S%C3%A1+da" TargetMode="External"/><Relationship Id="rId14" Type="http://schemas.openxmlformats.org/officeDocument/2006/relationships/hyperlink" Target="https://bdtd.ibict.br/vufind/Author/Home?author=Aguiar%2C+Caroline+Boletta+de+Oliveira" TargetMode="External"/><Relationship Id="rId22" Type="http://schemas.openxmlformats.org/officeDocument/2006/relationships/hyperlink" Target="https://bdtd.ibict.br/vufind/Author/Home?author=Pfeil%2C+Andr%C3%A9+Jorge+Cavallo" TargetMode="External"/><Relationship Id="rId27" Type="http://schemas.openxmlformats.org/officeDocument/2006/relationships/hyperlink" Target="https://bdtd.ibict.br/vufind/Author/Home?author=Domeneghini%2C+Daiana" TargetMode="External"/><Relationship Id="rId30" Type="http://schemas.openxmlformats.org/officeDocument/2006/relationships/hyperlink" Target="https://bdtd.ibict.br/vufind/Author/Home?author=Santos%2C+Patrick+Renilton+Amorim+dos" TargetMode="External"/><Relationship Id="rId35" Type="http://schemas.openxmlformats.org/officeDocument/2006/relationships/hyperlink" Target="https://bdtd.ibict.br/vufind/Author/Home?author=Darius%2C+Rebeca+Pizza+Pancotte+%5BUNESP%5D" TargetMode="External"/><Relationship Id="rId43" Type="http://schemas.openxmlformats.org/officeDocument/2006/relationships/hyperlink" Target="https://www-webofscience-com.ez87.periodicos.capes.gov.br/wos/pqdt/general-summary?queryJson=%5B%7B%22rowBoolean%22:null,%22rowField%22:%22AU%22,%22rowText%22:%22Everman,%20Bradford%20W.%22%7D%5D&amp;eventMode=oneClickSearch" TargetMode="External"/><Relationship Id="rId48" Type="http://schemas.openxmlformats.org/officeDocument/2006/relationships/hyperlink" Target="https://www-webofscience-com.ez87.periodicos.capes.gov.br/wos/pqdt/general-summary?queryJson=%5B%7B%22rowBoolean%22:null,%22rowField%22:%22AU%22,%22rowText%22:%22Fanning,%20Sydney%22%7D%5D&amp;eventMode=oneClickSearch" TargetMode="External"/><Relationship Id="rId8" Type="http://schemas.openxmlformats.org/officeDocument/2006/relationships/hyperlink" Target="https://bdtd.ibict.br/vufind/Author/Home?author=Storti%2C+Gabriel+Jos%C3%A9%2C+1985-" TargetMode="External"/><Relationship Id="rId5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workbookViewId="0">
      <selection activeCell="E6" sqref="E6"/>
    </sheetView>
  </sheetViews>
  <sheetFormatPr defaultRowHeight="14.25"/>
  <cols>
    <col min="1" max="1" width="3.75" customWidth="1"/>
    <col min="2" max="2" width="90" customWidth="1"/>
    <col min="3" max="4" width="12.875" customWidth="1"/>
    <col min="5" max="5" width="11.75" customWidth="1"/>
    <col min="7" max="7" width="17.875" bestFit="1" customWidth="1"/>
  </cols>
  <sheetData>
    <row r="1" spans="2:7" ht="9.75" customHeight="1"/>
    <row r="2" spans="2:7" ht="15.75">
      <c r="B2" s="10" t="s">
        <v>19</v>
      </c>
      <c r="C2" s="18" t="s">
        <v>15</v>
      </c>
      <c r="D2" s="18"/>
      <c r="E2" s="18"/>
    </row>
    <row r="3" spans="2:7" ht="15">
      <c r="B3" t="s">
        <v>3</v>
      </c>
      <c r="C3" s="3" t="s">
        <v>1</v>
      </c>
      <c r="D3" s="3" t="s">
        <v>2</v>
      </c>
      <c r="E3" s="3" t="s">
        <v>4</v>
      </c>
      <c r="G3" s="11" t="s">
        <v>5</v>
      </c>
    </row>
    <row r="4" spans="2:7" ht="15">
      <c r="B4" s="4" t="s">
        <v>7</v>
      </c>
      <c r="C4" s="6" t="s">
        <v>18</v>
      </c>
      <c r="D4" s="1">
        <v>1</v>
      </c>
      <c r="E4" s="5">
        <v>1235</v>
      </c>
      <c r="G4" s="7">
        <f>SUM(Tabela33[[#This Row],[BDTD]:[ProQuest]])</f>
        <v>1236</v>
      </c>
    </row>
    <row r="5" spans="2:7" ht="15">
      <c r="B5" s="4" t="s">
        <v>8</v>
      </c>
      <c r="C5" s="6">
        <v>796</v>
      </c>
      <c r="D5" s="1">
        <v>3</v>
      </c>
      <c r="E5" s="5">
        <v>504</v>
      </c>
      <c r="G5" s="7">
        <f>SUM(Tabela33[[#This Row],[BDTD]:[ProQuest]])</f>
        <v>1303</v>
      </c>
    </row>
    <row r="6" spans="2:7" ht="15">
      <c r="B6" s="4" t="s">
        <v>9</v>
      </c>
      <c r="C6" s="6">
        <v>7</v>
      </c>
      <c r="D6" s="1">
        <v>0</v>
      </c>
      <c r="E6" s="5">
        <v>1</v>
      </c>
      <c r="G6" s="7">
        <f>SUM(Tabela33[[#This Row],[BDTD]:[ProQuest]])</f>
        <v>8</v>
      </c>
    </row>
    <row r="7" spans="2:7" ht="15">
      <c r="B7" s="4" t="s">
        <v>10</v>
      </c>
      <c r="C7" s="6">
        <v>16</v>
      </c>
      <c r="D7" s="1">
        <v>0</v>
      </c>
      <c r="E7" s="5">
        <v>23</v>
      </c>
      <c r="G7" s="7">
        <f>SUM(Tabela33[[#This Row],[BDTD]:[ProQuest]])</f>
        <v>39</v>
      </c>
    </row>
    <row r="8" spans="2:7" ht="15">
      <c r="B8" s="4" t="s">
        <v>11</v>
      </c>
      <c r="C8" s="6">
        <v>9</v>
      </c>
      <c r="D8" s="1">
        <v>0</v>
      </c>
      <c r="E8" s="5">
        <v>12</v>
      </c>
      <c r="G8" s="7">
        <f>SUM(Tabela33[[#This Row],[BDTD]:[ProQuest]])</f>
        <v>21</v>
      </c>
    </row>
    <row r="9" spans="2:7" ht="15">
      <c r="B9" s="4" t="s">
        <v>12</v>
      </c>
      <c r="C9" s="6" t="s">
        <v>20</v>
      </c>
      <c r="D9" s="1">
        <v>0</v>
      </c>
      <c r="E9" s="5">
        <v>243</v>
      </c>
      <c r="G9" s="7">
        <f>SUM(Tabela33[[#This Row],[BDTD]:[ProQuest]])</f>
        <v>243</v>
      </c>
    </row>
    <row r="10" spans="2:7" ht="15">
      <c r="B10" s="4" t="s">
        <v>13</v>
      </c>
      <c r="C10" s="6" t="s">
        <v>21</v>
      </c>
      <c r="D10" s="1">
        <v>11</v>
      </c>
      <c r="E10" s="5">
        <v>1511</v>
      </c>
      <c r="G10" s="7">
        <f>SUM(Tabela33[[#This Row],[BDTD]:[ProQuest]])</f>
        <v>1522</v>
      </c>
    </row>
    <row r="11" spans="2:7" ht="15">
      <c r="B11" s="4" t="s">
        <v>14</v>
      </c>
      <c r="C11" s="6">
        <v>12</v>
      </c>
      <c r="D11" s="1">
        <v>0</v>
      </c>
      <c r="E11" s="5">
        <v>23</v>
      </c>
      <c r="G11" s="7">
        <f>SUM(Tabela33[[#This Row],[BDTD]:[ProQuest]])</f>
        <v>35</v>
      </c>
    </row>
    <row r="12" spans="2:7" ht="15">
      <c r="B12" s="4" t="s">
        <v>16</v>
      </c>
      <c r="C12" s="6">
        <v>11</v>
      </c>
      <c r="D12" s="1">
        <v>0</v>
      </c>
      <c r="E12" s="5">
        <v>28</v>
      </c>
      <c r="G12" s="7">
        <f>SUM(Tabela33[[#This Row],[BDTD]:[ProQuest]])</f>
        <v>39</v>
      </c>
    </row>
    <row r="13" spans="2:7" ht="15">
      <c r="B13" s="4" t="s">
        <v>17</v>
      </c>
      <c r="C13" s="5">
        <v>430</v>
      </c>
      <c r="D13" s="1">
        <v>0</v>
      </c>
      <c r="E13" s="5">
        <v>171</v>
      </c>
      <c r="G13" s="7">
        <f>SUM(Tabela33[[#This Row],[BDTD]:[ProQuest]])</f>
        <v>601</v>
      </c>
    </row>
    <row r="15" spans="2:7" ht="18">
      <c r="B15" s="11" t="s">
        <v>6</v>
      </c>
      <c r="C15" s="8">
        <f>SUM(Tabela33[BDTD])</f>
        <v>1281</v>
      </c>
      <c r="D15" s="8">
        <f>SUM(Tabela33[Capes])</f>
        <v>15</v>
      </c>
      <c r="E15" s="8">
        <f>SUM(Tabela33[ProQuest])</f>
        <v>3751</v>
      </c>
      <c r="G15" s="12">
        <f>SUM(G4:G13)</f>
        <v>5047</v>
      </c>
    </row>
  </sheetData>
  <mergeCells count="1">
    <mergeCell ref="C2:E2"/>
  </mergeCells>
  <hyperlinks>
    <hyperlink ref="C3" r:id="rId1"/>
    <hyperlink ref="D3" r:id="rId2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>
      <selection activeCell="B18" sqref="B18"/>
    </sheetView>
  </sheetViews>
  <sheetFormatPr defaultRowHeight="14.25"/>
  <cols>
    <col min="1" max="1" width="3.75" customWidth="1"/>
    <col min="2" max="2" width="90.25" bestFit="1" customWidth="1"/>
    <col min="3" max="3" width="48.875" customWidth="1"/>
    <col min="4" max="5" width="12.875" customWidth="1"/>
    <col min="6" max="6" width="11.75" customWidth="1"/>
    <col min="8" max="8" width="17.875" bestFit="1" customWidth="1"/>
  </cols>
  <sheetData>
    <row r="2" spans="2:8" ht="15">
      <c r="B2" s="13" t="s">
        <v>22</v>
      </c>
      <c r="C2" s="13"/>
      <c r="D2" s="20">
        <v>45957</v>
      </c>
      <c r="E2" s="20"/>
      <c r="F2" s="20"/>
    </row>
    <row r="3" spans="2:8" ht="15.75">
      <c r="B3" s="13" t="s">
        <v>35</v>
      </c>
      <c r="C3" s="13"/>
      <c r="D3" s="19" t="s">
        <v>15</v>
      </c>
      <c r="E3" s="19"/>
      <c r="F3" s="19"/>
    </row>
    <row r="4" spans="2:8" ht="9.75" customHeight="1"/>
    <row r="5" spans="2:8" ht="15">
      <c r="B5" t="s">
        <v>23</v>
      </c>
      <c r="C5" t="s">
        <v>24</v>
      </c>
      <c r="D5" s="3" t="s">
        <v>1</v>
      </c>
      <c r="E5" s="3" t="s">
        <v>2</v>
      </c>
      <c r="F5" s="3" t="s">
        <v>4</v>
      </c>
      <c r="H5" s="11" t="s">
        <v>5</v>
      </c>
    </row>
    <row r="6" spans="2:8" ht="15.75">
      <c r="B6" s="4" t="s">
        <v>7</v>
      </c>
      <c r="C6" s="4" t="s">
        <v>26</v>
      </c>
      <c r="D6" s="15">
        <v>2519</v>
      </c>
      <c r="E6" s="14"/>
      <c r="F6" s="14">
        <v>36607</v>
      </c>
      <c r="H6" s="7">
        <f>SUM(Tabela334[[#This Row],[BDTD]:[ProQuest]])</f>
        <v>39126</v>
      </c>
    </row>
    <row r="7" spans="2:8" ht="15.75">
      <c r="B7" s="4" t="s">
        <v>8</v>
      </c>
      <c r="C7" s="4" t="s">
        <v>27</v>
      </c>
      <c r="D7" s="15">
        <v>2683</v>
      </c>
      <c r="E7" s="14"/>
      <c r="F7" s="14">
        <v>1178</v>
      </c>
      <c r="H7" s="7">
        <f>SUM(Tabela334[[#This Row],[BDTD]:[ProQuest]])</f>
        <v>3861</v>
      </c>
    </row>
    <row r="8" spans="2:8" ht="15.75">
      <c r="B8" s="4" t="s">
        <v>9</v>
      </c>
      <c r="C8" s="4" t="s">
        <v>28</v>
      </c>
      <c r="D8" s="15">
        <v>8126</v>
      </c>
      <c r="E8" s="14"/>
      <c r="F8" s="14">
        <v>3</v>
      </c>
      <c r="H8" s="7">
        <f>SUM(Tabela334[[#This Row],[BDTD]:[ProQuest]])</f>
        <v>8129</v>
      </c>
    </row>
    <row r="9" spans="2:8" ht="15.75">
      <c r="B9" s="4" t="s">
        <v>10</v>
      </c>
      <c r="C9" s="4" t="s">
        <v>25</v>
      </c>
      <c r="D9" s="16">
        <v>724</v>
      </c>
      <c r="E9" s="14"/>
      <c r="F9" s="14">
        <v>3</v>
      </c>
      <c r="H9" s="7">
        <f>SUM(Tabela334[[#This Row],[BDTD]:[ProQuest]])</f>
        <v>727</v>
      </c>
    </row>
    <row r="10" spans="2:8" ht="15.75">
      <c r="B10" s="4" t="s">
        <v>11</v>
      </c>
      <c r="C10" s="4" t="s">
        <v>29</v>
      </c>
      <c r="D10" s="16">
        <v>33</v>
      </c>
      <c r="E10" s="14"/>
      <c r="F10" s="14">
        <v>87</v>
      </c>
      <c r="H10" s="7">
        <f>SUM(Tabela334[[#This Row],[BDTD]:[ProQuest]])</f>
        <v>120</v>
      </c>
    </row>
    <row r="11" spans="2:8" ht="15.75">
      <c r="B11" s="4" t="s">
        <v>12</v>
      </c>
      <c r="C11" s="4" t="s">
        <v>30</v>
      </c>
      <c r="D11" s="16">
        <v>835</v>
      </c>
      <c r="E11" s="14"/>
      <c r="F11" s="14">
        <v>3</v>
      </c>
      <c r="H11" s="7">
        <f>SUM(Tabela334[[#This Row],[BDTD]:[ProQuest]])</f>
        <v>838</v>
      </c>
    </row>
    <row r="12" spans="2:8" ht="15.75">
      <c r="B12" s="4" t="s">
        <v>13</v>
      </c>
      <c r="C12" s="4" t="s">
        <v>31</v>
      </c>
      <c r="D12" s="15">
        <v>4614</v>
      </c>
      <c r="E12" s="14"/>
      <c r="F12" s="14">
        <v>14898</v>
      </c>
      <c r="H12" s="7">
        <f>SUM(Tabela334[[#This Row],[BDTD]:[ProQuest]])</f>
        <v>19512</v>
      </c>
    </row>
    <row r="13" spans="2:8" ht="15.75">
      <c r="B13" s="4" t="s">
        <v>14</v>
      </c>
      <c r="C13" s="4" t="s">
        <v>32</v>
      </c>
      <c r="D13" s="16">
        <v>293</v>
      </c>
      <c r="E13" s="14"/>
      <c r="F13" s="14">
        <v>68</v>
      </c>
      <c r="H13" s="7">
        <f>SUM(Tabela334[[#This Row],[BDTD]:[ProQuest]])</f>
        <v>361</v>
      </c>
    </row>
    <row r="14" spans="2:8" ht="15.75">
      <c r="B14" s="4" t="s">
        <v>16</v>
      </c>
      <c r="C14" s="4" t="s">
        <v>33</v>
      </c>
      <c r="D14" s="16">
        <v>514</v>
      </c>
      <c r="E14" s="14"/>
      <c r="F14" s="14">
        <v>53</v>
      </c>
      <c r="H14" s="7">
        <f>SUM(Tabela334[[#This Row],[BDTD]:[ProQuest]])</f>
        <v>567</v>
      </c>
    </row>
    <row r="15" spans="2:8" ht="15.75">
      <c r="B15" s="4" t="s">
        <v>17</v>
      </c>
      <c r="C15" s="4" t="s">
        <v>34</v>
      </c>
      <c r="D15" s="15">
        <v>6151</v>
      </c>
      <c r="E15" s="14"/>
      <c r="F15" s="14"/>
      <c r="H15" s="7">
        <f>SUM(Tabela334[[#This Row],[BDTD]:[ProQuest]])</f>
        <v>6151</v>
      </c>
    </row>
    <row r="17" spans="2:8" ht="18">
      <c r="B17" s="11" t="s">
        <v>6</v>
      </c>
      <c r="C17" s="11"/>
      <c r="D17" s="8">
        <f>SUM(Tabela334[BDTD])</f>
        <v>26492</v>
      </c>
      <c r="E17" s="8">
        <f>SUM(Tabela334[Capes])</f>
        <v>0</v>
      </c>
      <c r="F17" s="8">
        <f>SUM(Tabela334[ProQuest])</f>
        <v>52900</v>
      </c>
      <c r="H17" s="12">
        <f>SUM(H6:H15)</f>
        <v>79392</v>
      </c>
    </row>
    <row r="19" spans="2:8">
      <c r="B19" t="s">
        <v>70</v>
      </c>
    </row>
  </sheetData>
  <mergeCells count="2">
    <mergeCell ref="D3:F3"/>
    <mergeCell ref="D2:F2"/>
  </mergeCells>
  <hyperlinks>
    <hyperlink ref="D5" r:id="rId1"/>
    <hyperlink ref="E5" r:id="rId2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topLeftCell="A43" workbookViewId="0">
      <selection activeCell="C58" sqref="C58"/>
    </sheetView>
  </sheetViews>
  <sheetFormatPr defaultRowHeight="14.25"/>
  <cols>
    <col min="1" max="1" width="6.375" customWidth="1"/>
    <col min="2" max="2" width="9.875" bestFit="1" customWidth="1"/>
    <col min="3" max="3" width="186.75" bestFit="1" customWidth="1"/>
    <col min="4" max="4" width="9" style="1" bestFit="1" customWidth="1"/>
    <col min="5" max="5" width="44.25" bestFit="1" customWidth="1"/>
    <col min="6" max="6" width="19.625" style="1" customWidth="1"/>
    <col min="7" max="7" width="21" style="1" customWidth="1"/>
    <col min="8" max="8" width="84.875" customWidth="1"/>
  </cols>
  <sheetData>
    <row r="1" spans="1:8" ht="28.5">
      <c r="A1" s="2" t="s">
        <v>49</v>
      </c>
      <c r="B1" s="2" t="s">
        <v>36</v>
      </c>
      <c r="C1" s="2" t="s">
        <v>50</v>
      </c>
      <c r="D1" s="2" t="s">
        <v>0</v>
      </c>
      <c r="E1" s="2" t="s">
        <v>37</v>
      </c>
      <c r="F1" s="9" t="s">
        <v>130</v>
      </c>
      <c r="G1" s="9" t="s">
        <v>63</v>
      </c>
      <c r="H1" s="2" t="s">
        <v>237</v>
      </c>
    </row>
    <row r="2" spans="1:8">
      <c r="A2" s="1">
        <v>1</v>
      </c>
      <c r="B2" t="s">
        <v>1</v>
      </c>
      <c r="C2" t="s">
        <v>71</v>
      </c>
      <c r="D2" s="1">
        <v>2022</v>
      </c>
      <c r="E2" t="s">
        <v>72</v>
      </c>
      <c r="F2" s="1" t="s">
        <v>129</v>
      </c>
      <c r="H2" t="s">
        <v>38</v>
      </c>
    </row>
    <row r="3" spans="1:8">
      <c r="A3" s="1">
        <v>2</v>
      </c>
      <c r="B3" t="s">
        <v>1</v>
      </c>
      <c r="C3" t="s">
        <v>73</v>
      </c>
      <c r="D3" s="1">
        <v>2024</v>
      </c>
      <c r="E3" t="s">
        <v>74</v>
      </c>
      <c r="F3" s="1" t="s">
        <v>129</v>
      </c>
      <c r="H3" t="s">
        <v>39</v>
      </c>
    </row>
    <row r="4" spans="1:8">
      <c r="A4" s="1">
        <v>3</v>
      </c>
      <c r="B4" t="s">
        <v>1</v>
      </c>
      <c r="C4" t="s">
        <v>75</v>
      </c>
      <c r="D4" s="1">
        <v>2021</v>
      </c>
      <c r="E4" t="s">
        <v>76</v>
      </c>
      <c r="G4" s="1" t="s">
        <v>129</v>
      </c>
      <c r="H4" t="s">
        <v>40</v>
      </c>
    </row>
    <row r="5" spans="1:8">
      <c r="A5" s="1">
        <v>4</v>
      </c>
      <c r="B5" t="s">
        <v>1</v>
      </c>
      <c r="C5" t="s">
        <v>77</v>
      </c>
      <c r="D5" s="1">
        <v>2020</v>
      </c>
      <c r="E5" t="s">
        <v>78</v>
      </c>
      <c r="G5" s="1" t="s">
        <v>129</v>
      </c>
      <c r="H5" t="s">
        <v>41</v>
      </c>
    </row>
    <row r="6" spans="1:8">
      <c r="A6" s="1">
        <v>5</v>
      </c>
      <c r="B6" t="s">
        <v>1</v>
      </c>
      <c r="C6" t="s">
        <v>79</v>
      </c>
      <c r="D6" s="1">
        <v>2022</v>
      </c>
      <c r="E6" t="s">
        <v>80</v>
      </c>
      <c r="G6" s="1" t="s">
        <v>129</v>
      </c>
      <c r="H6" t="s">
        <v>42</v>
      </c>
    </row>
    <row r="7" spans="1:8">
      <c r="A7" s="1">
        <v>6</v>
      </c>
      <c r="B7" t="s">
        <v>1</v>
      </c>
      <c r="C7" t="s">
        <v>81</v>
      </c>
      <c r="D7" s="1">
        <v>2020</v>
      </c>
      <c r="E7" t="s">
        <v>82</v>
      </c>
      <c r="G7" s="1" t="s">
        <v>129</v>
      </c>
      <c r="H7" t="s">
        <v>43</v>
      </c>
    </row>
    <row r="8" spans="1:8">
      <c r="A8" s="1">
        <v>7</v>
      </c>
      <c r="B8" t="s">
        <v>1</v>
      </c>
      <c r="C8" t="s">
        <v>83</v>
      </c>
      <c r="D8" s="1">
        <v>2023</v>
      </c>
      <c r="E8" t="s">
        <v>84</v>
      </c>
      <c r="G8" s="1" t="s">
        <v>129</v>
      </c>
      <c r="H8" t="s">
        <v>44</v>
      </c>
    </row>
    <row r="9" spans="1:8">
      <c r="A9" s="1">
        <v>8</v>
      </c>
      <c r="B9" t="s">
        <v>1</v>
      </c>
      <c r="C9" t="s">
        <v>85</v>
      </c>
      <c r="D9" s="1">
        <v>2025</v>
      </c>
      <c r="E9" t="s">
        <v>86</v>
      </c>
      <c r="G9" s="1" t="s">
        <v>129</v>
      </c>
      <c r="H9" t="s">
        <v>45</v>
      </c>
    </row>
    <row r="10" spans="1:8">
      <c r="A10" s="1">
        <v>9</v>
      </c>
      <c r="B10" t="s">
        <v>1</v>
      </c>
      <c r="C10" t="s">
        <v>87</v>
      </c>
      <c r="D10" s="1">
        <v>2023</v>
      </c>
      <c r="E10" t="s">
        <v>88</v>
      </c>
      <c r="G10" s="1" t="s">
        <v>129</v>
      </c>
      <c r="H10" t="s">
        <v>46</v>
      </c>
    </row>
    <row r="11" spans="1:8">
      <c r="A11" s="1">
        <v>10</v>
      </c>
      <c r="B11" t="s">
        <v>1</v>
      </c>
      <c r="C11" t="s">
        <v>89</v>
      </c>
      <c r="D11" s="1">
        <v>2023</v>
      </c>
      <c r="E11" t="s">
        <v>90</v>
      </c>
      <c r="G11" s="1" t="s">
        <v>129</v>
      </c>
      <c r="H11" t="s">
        <v>47</v>
      </c>
    </row>
    <row r="12" spans="1:8">
      <c r="A12" s="1">
        <v>11</v>
      </c>
      <c r="B12" t="s">
        <v>1</v>
      </c>
      <c r="C12" t="s">
        <v>91</v>
      </c>
      <c r="D12" s="1">
        <v>2022</v>
      </c>
      <c r="E12" t="s">
        <v>92</v>
      </c>
      <c r="G12" s="1" t="s">
        <v>129</v>
      </c>
      <c r="H12" t="s">
        <v>48</v>
      </c>
    </row>
    <row r="13" spans="1:8">
      <c r="A13" s="1">
        <v>12</v>
      </c>
      <c r="B13" t="s">
        <v>1</v>
      </c>
      <c r="C13" t="s">
        <v>93</v>
      </c>
      <c r="D13" s="1">
        <v>2025</v>
      </c>
      <c r="E13" t="s">
        <v>94</v>
      </c>
      <c r="G13" s="1" t="s">
        <v>129</v>
      </c>
      <c r="H13" t="s">
        <v>62</v>
      </c>
    </row>
    <row r="14" spans="1:8">
      <c r="A14" s="1">
        <v>13</v>
      </c>
      <c r="B14" t="s">
        <v>1</v>
      </c>
      <c r="C14" t="s">
        <v>95</v>
      </c>
      <c r="D14" s="1">
        <v>2024</v>
      </c>
      <c r="E14" t="s">
        <v>96</v>
      </c>
      <c r="G14" s="1" t="s">
        <v>129</v>
      </c>
      <c r="H14" t="s">
        <v>51</v>
      </c>
    </row>
    <row r="15" spans="1:8">
      <c r="A15" s="1">
        <v>14</v>
      </c>
      <c r="B15" t="s">
        <v>1</v>
      </c>
      <c r="C15" t="s">
        <v>97</v>
      </c>
      <c r="D15" s="1">
        <v>2024</v>
      </c>
      <c r="E15" t="s">
        <v>98</v>
      </c>
      <c r="G15" s="1" t="s">
        <v>129</v>
      </c>
      <c r="H15" t="s">
        <v>52</v>
      </c>
    </row>
    <row r="16" spans="1:8">
      <c r="A16" s="1">
        <v>15</v>
      </c>
      <c r="B16" t="s">
        <v>1</v>
      </c>
      <c r="C16" t="s">
        <v>99</v>
      </c>
      <c r="D16" s="1">
        <v>2025</v>
      </c>
      <c r="E16" t="s">
        <v>100</v>
      </c>
      <c r="G16" s="1" t="s">
        <v>129</v>
      </c>
      <c r="H16" t="s">
        <v>53</v>
      </c>
    </row>
    <row r="17" spans="1:8">
      <c r="A17" s="1">
        <v>16</v>
      </c>
      <c r="B17" t="s">
        <v>1</v>
      </c>
      <c r="C17" t="s">
        <v>101</v>
      </c>
      <c r="D17" s="1">
        <v>2021</v>
      </c>
      <c r="E17" t="s">
        <v>102</v>
      </c>
      <c r="G17" s="1" t="s">
        <v>129</v>
      </c>
      <c r="H17" t="s">
        <v>54</v>
      </c>
    </row>
    <row r="18" spans="1:8">
      <c r="A18" s="1">
        <v>17</v>
      </c>
      <c r="B18" t="s">
        <v>1</v>
      </c>
      <c r="C18" t="s">
        <v>103</v>
      </c>
      <c r="D18" s="1">
        <v>2021</v>
      </c>
      <c r="E18" t="s">
        <v>104</v>
      </c>
      <c r="G18" s="1" t="s">
        <v>129</v>
      </c>
      <c r="H18" t="s">
        <v>55</v>
      </c>
    </row>
    <row r="19" spans="1:8">
      <c r="A19" s="1">
        <v>18</v>
      </c>
      <c r="B19" t="s">
        <v>1</v>
      </c>
      <c r="C19" t="s">
        <v>105</v>
      </c>
      <c r="D19" s="1">
        <v>2021</v>
      </c>
      <c r="E19" t="s">
        <v>106</v>
      </c>
      <c r="F19" s="1" t="s">
        <v>129</v>
      </c>
      <c r="H19" t="s">
        <v>56</v>
      </c>
    </row>
    <row r="20" spans="1:8">
      <c r="A20" s="1">
        <v>19</v>
      </c>
      <c r="B20" t="s">
        <v>1</v>
      </c>
      <c r="C20" t="s">
        <v>107</v>
      </c>
      <c r="D20" s="1">
        <v>2024</v>
      </c>
      <c r="E20" t="s">
        <v>108</v>
      </c>
      <c r="G20" s="1" t="s">
        <v>129</v>
      </c>
      <c r="H20" t="s">
        <v>57</v>
      </c>
    </row>
    <row r="21" spans="1:8">
      <c r="A21" s="1">
        <v>20</v>
      </c>
      <c r="B21" t="s">
        <v>1</v>
      </c>
      <c r="C21" t="s">
        <v>109</v>
      </c>
      <c r="D21" s="1">
        <v>2025</v>
      </c>
      <c r="E21" t="s">
        <v>110</v>
      </c>
      <c r="G21" s="1" t="s">
        <v>129</v>
      </c>
      <c r="H21" t="s">
        <v>58</v>
      </c>
    </row>
    <row r="22" spans="1:8">
      <c r="A22" s="1">
        <v>21</v>
      </c>
      <c r="B22" t="s">
        <v>1</v>
      </c>
      <c r="C22" t="s">
        <v>111</v>
      </c>
      <c r="D22" s="1">
        <v>2025</v>
      </c>
      <c r="E22" t="s">
        <v>112</v>
      </c>
      <c r="F22" s="1" t="s">
        <v>129</v>
      </c>
      <c r="H22" t="s">
        <v>59</v>
      </c>
    </row>
    <row r="23" spans="1:8">
      <c r="A23" s="1">
        <v>22</v>
      </c>
      <c r="B23" t="s">
        <v>1</v>
      </c>
      <c r="C23" t="s">
        <v>113</v>
      </c>
      <c r="D23" s="1">
        <v>2024</v>
      </c>
      <c r="E23" t="s">
        <v>114</v>
      </c>
      <c r="F23" s="1" t="s">
        <v>129</v>
      </c>
      <c r="H23" t="s">
        <v>60</v>
      </c>
    </row>
    <row r="24" spans="1:8">
      <c r="A24" s="1">
        <v>23</v>
      </c>
      <c r="B24" t="s">
        <v>1</v>
      </c>
      <c r="C24" t="s">
        <v>115</v>
      </c>
      <c r="D24" s="1">
        <v>2025</v>
      </c>
      <c r="E24" t="s">
        <v>116</v>
      </c>
      <c r="F24" s="1" t="s">
        <v>129</v>
      </c>
      <c r="H24" t="s">
        <v>61</v>
      </c>
    </row>
    <row r="25" spans="1:8">
      <c r="A25" s="1">
        <v>24</v>
      </c>
      <c r="B25" t="s">
        <v>1</v>
      </c>
      <c r="C25" t="s">
        <v>117</v>
      </c>
      <c r="D25" s="1">
        <v>2025</v>
      </c>
      <c r="E25" t="s">
        <v>118</v>
      </c>
      <c r="F25" s="1" t="s">
        <v>129</v>
      </c>
      <c r="H25" t="s">
        <v>64</v>
      </c>
    </row>
    <row r="26" spans="1:8">
      <c r="A26" s="1">
        <v>25</v>
      </c>
      <c r="B26" t="s">
        <v>1</v>
      </c>
      <c r="C26" t="s">
        <v>119</v>
      </c>
      <c r="D26" s="1">
        <v>2023</v>
      </c>
      <c r="E26" t="s">
        <v>120</v>
      </c>
      <c r="F26" s="1" t="s">
        <v>129</v>
      </c>
      <c r="H26" t="s">
        <v>65</v>
      </c>
    </row>
    <row r="27" spans="1:8">
      <c r="A27" s="1">
        <v>26</v>
      </c>
      <c r="B27" t="s">
        <v>1</v>
      </c>
      <c r="C27" t="s">
        <v>121</v>
      </c>
      <c r="D27" s="1">
        <v>2022</v>
      </c>
      <c r="E27" t="s">
        <v>122</v>
      </c>
      <c r="F27" s="1" t="s">
        <v>129</v>
      </c>
      <c r="H27" t="s">
        <v>66</v>
      </c>
    </row>
    <row r="28" spans="1:8">
      <c r="A28" s="1">
        <v>27</v>
      </c>
      <c r="B28" t="s">
        <v>1</v>
      </c>
      <c r="C28" t="s">
        <v>123</v>
      </c>
      <c r="D28" s="1">
        <v>2024</v>
      </c>
      <c r="E28" t="s">
        <v>124</v>
      </c>
      <c r="G28" s="1" t="s">
        <v>129</v>
      </c>
      <c r="H28" t="s">
        <v>67</v>
      </c>
    </row>
    <row r="29" spans="1:8">
      <c r="A29" s="1">
        <v>28</v>
      </c>
      <c r="B29" t="s">
        <v>1</v>
      </c>
      <c r="C29" t="s">
        <v>125</v>
      </c>
      <c r="D29" s="1">
        <v>2022</v>
      </c>
      <c r="E29" t="s">
        <v>126</v>
      </c>
      <c r="G29" s="1" t="s">
        <v>129</v>
      </c>
      <c r="H29" t="s">
        <v>68</v>
      </c>
    </row>
    <row r="30" spans="1:8">
      <c r="A30" s="1">
        <v>29</v>
      </c>
      <c r="B30" t="s">
        <v>1</v>
      </c>
      <c r="C30" t="s">
        <v>127</v>
      </c>
      <c r="D30" s="1">
        <v>2023</v>
      </c>
      <c r="E30" t="s">
        <v>128</v>
      </c>
      <c r="G30" s="1" t="s">
        <v>129</v>
      </c>
      <c r="H30" t="s">
        <v>69</v>
      </c>
    </row>
    <row r="31" spans="1:8">
      <c r="A31" s="1">
        <v>30</v>
      </c>
      <c r="B31" t="s">
        <v>1</v>
      </c>
      <c r="C31" t="s">
        <v>178</v>
      </c>
      <c r="D31" s="1">
        <v>2021</v>
      </c>
      <c r="E31" t="s">
        <v>179</v>
      </c>
      <c r="F31" s="1" t="s">
        <v>129</v>
      </c>
      <c r="H31" t="s">
        <v>131</v>
      </c>
    </row>
    <row r="32" spans="1:8">
      <c r="A32" s="1">
        <v>31</v>
      </c>
      <c r="B32" t="s">
        <v>1</v>
      </c>
      <c r="C32" t="s">
        <v>180</v>
      </c>
      <c r="D32" s="1">
        <v>2024</v>
      </c>
      <c r="E32" t="s">
        <v>181</v>
      </c>
      <c r="F32" s="1" t="s">
        <v>129</v>
      </c>
      <c r="H32" t="s">
        <v>132</v>
      </c>
    </row>
    <row r="33" spans="1:8">
      <c r="A33" s="1">
        <v>32</v>
      </c>
      <c r="B33" t="s">
        <v>1</v>
      </c>
      <c r="C33" t="s">
        <v>182</v>
      </c>
      <c r="D33" s="1">
        <v>2025</v>
      </c>
      <c r="E33" t="s">
        <v>183</v>
      </c>
      <c r="F33" s="1" t="s">
        <v>129</v>
      </c>
      <c r="H33" t="s">
        <v>133</v>
      </c>
    </row>
    <row r="34" spans="1:8">
      <c r="A34" s="1">
        <v>33</v>
      </c>
      <c r="B34" t="s">
        <v>1</v>
      </c>
      <c r="C34" t="s">
        <v>184</v>
      </c>
      <c r="D34" s="1">
        <v>2024</v>
      </c>
      <c r="E34" t="s">
        <v>185</v>
      </c>
      <c r="F34" s="1" t="s">
        <v>129</v>
      </c>
      <c r="H34" t="s">
        <v>134</v>
      </c>
    </row>
    <row r="35" spans="1:8">
      <c r="A35" s="1">
        <v>34</v>
      </c>
      <c r="B35" t="s">
        <v>1</v>
      </c>
      <c r="C35" t="s">
        <v>186</v>
      </c>
      <c r="D35" s="1">
        <v>2023</v>
      </c>
      <c r="E35" t="s">
        <v>187</v>
      </c>
      <c r="F35" s="1" t="s">
        <v>129</v>
      </c>
      <c r="H35" t="s">
        <v>135</v>
      </c>
    </row>
    <row r="36" spans="1:8">
      <c r="A36" s="1">
        <v>35</v>
      </c>
      <c r="B36" t="s">
        <v>1</v>
      </c>
      <c r="C36" t="s">
        <v>188</v>
      </c>
      <c r="D36" s="1">
        <v>2022</v>
      </c>
      <c r="E36" t="s">
        <v>189</v>
      </c>
      <c r="F36" s="1" t="s">
        <v>129</v>
      </c>
      <c r="H36" t="s">
        <v>136</v>
      </c>
    </row>
    <row r="37" spans="1:8">
      <c r="A37" s="1">
        <v>36</v>
      </c>
      <c r="B37" t="s">
        <v>1</v>
      </c>
      <c r="C37" t="s">
        <v>190</v>
      </c>
      <c r="D37" s="1">
        <v>2020</v>
      </c>
      <c r="E37" t="s">
        <v>191</v>
      </c>
      <c r="F37" s="1" t="s">
        <v>129</v>
      </c>
      <c r="H37" t="s">
        <v>137</v>
      </c>
    </row>
    <row r="38" spans="1:8">
      <c r="A38" s="1">
        <v>37</v>
      </c>
      <c r="B38" t="s">
        <v>1</v>
      </c>
      <c r="C38" t="s">
        <v>192</v>
      </c>
      <c r="D38" s="1">
        <v>2020</v>
      </c>
      <c r="E38" t="s">
        <v>193</v>
      </c>
      <c r="F38" s="1" t="s">
        <v>129</v>
      </c>
      <c r="H38" t="s">
        <v>138</v>
      </c>
    </row>
    <row r="39" spans="1:8">
      <c r="A39" s="1">
        <v>38</v>
      </c>
      <c r="B39" t="s">
        <v>142</v>
      </c>
      <c r="C39" s="17" t="s">
        <v>153</v>
      </c>
      <c r="D39" s="17">
        <v>2022</v>
      </c>
      <c r="E39" s="17" t="s">
        <v>154</v>
      </c>
      <c r="F39" s="1" t="s">
        <v>129</v>
      </c>
      <c r="H39" t="s">
        <v>139</v>
      </c>
    </row>
    <row r="40" spans="1:8">
      <c r="A40" s="1">
        <v>39</v>
      </c>
      <c r="B40" t="s">
        <v>142</v>
      </c>
      <c r="C40" s="17" t="s">
        <v>155</v>
      </c>
      <c r="D40" s="17">
        <v>2023</v>
      </c>
      <c r="E40" s="17" t="s">
        <v>156</v>
      </c>
      <c r="G40" s="1" t="s">
        <v>129</v>
      </c>
      <c r="H40" t="s">
        <v>140</v>
      </c>
    </row>
    <row r="41" spans="1:8">
      <c r="A41" s="1">
        <v>40</v>
      </c>
      <c r="B41" t="s">
        <v>142</v>
      </c>
      <c r="C41" s="17" t="s">
        <v>157</v>
      </c>
      <c r="D41" s="17">
        <v>2023</v>
      </c>
      <c r="E41" s="17" t="s">
        <v>158</v>
      </c>
      <c r="G41" s="1" t="s">
        <v>129</v>
      </c>
      <c r="H41" t="s">
        <v>141</v>
      </c>
    </row>
    <row r="42" spans="1:8">
      <c r="A42" s="1">
        <v>41</v>
      </c>
      <c r="B42" t="s">
        <v>142</v>
      </c>
      <c r="C42" s="17" t="s">
        <v>159</v>
      </c>
      <c r="D42" s="17">
        <v>2021</v>
      </c>
      <c r="E42" s="17" t="s">
        <v>160</v>
      </c>
      <c r="G42" s="1" t="s">
        <v>129</v>
      </c>
      <c r="H42" t="s">
        <v>143</v>
      </c>
    </row>
    <row r="43" spans="1:8">
      <c r="A43" s="1">
        <v>42</v>
      </c>
      <c r="B43" t="s">
        <v>142</v>
      </c>
      <c r="C43" s="17" t="s">
        <v>127</v>
      </c>
      <c r="D43" s="17">
        <v>2023</v>
      </c>
      <c r="E43" s="17" t="s">
        <v>161</v>
      </c>
      <c r="G43" s="1" t="s">
        <v>129</v>
      </c>
      <c r="H43" t="s">
        <v>144</v>
      </c>
    </row>
    <row r="44" spans="1:8">
      <c r="A44" s="1">
        <v>43</v>
      </c>
      <c r="B44" t="s">
        <v>142</v>
      </c>
      <c r="C44" s="17" t="s">
        <v>162</v>
      </c>
      <c r="D44" s="17">
        <v>2023</v>
      </c>
      <c r="E44" s="17" t="s">
        <v>163</v>
      </c>
      <c r="G44" s="1" t="s">
        <v>129</v>
      </c>
      <c r="H44" t="s">
        <v>145</v>
      </c>
    </row>
    <row r="45" spans="1:8">
      <c r="A45" s="1">
        <v>44</v>
      </c>
      <c r="B45" t="s">
        <v>142</v>
      </c>
      <c r="C45" s="17" t="s">
        <v>164</v>
      </c>
      <c r="D45" s="17">
        <v>2023</v>
      </c>
      <c r="E45" s="17" t="s">
        <v>165</v>
      </c>
      <c r="G45" s="1" t="s">
        <v>129</v>
      </c>
      <c r="H45" t="s">
        <v>146</v>
      </c>
    </row>
    <row r="46" spans="1:8">
      <c r="A46" s="1">
        <v>45</v>
      </c>
      <c r="B46" t="s">
        <v>142</v>
      </c>
      <c r="C46" s="17" t="s">
        <v>166</v>
      </c>
      <c r="D46" s="17">
        <v>2023</v>
      </c>
      <c r="E46" s="17" t="s">
        <v>167</v>
      </c>
      <c r="G46" s="1" t="s">
        <v>129</v>
      </c>
      <c r="H46" t="s">
        <v>147</v>
      </c>
    </row>
    <row r="47" spans="1:8">
      <c r="A47" s="1">
        <v>46</v>
      </c>
      <c r="B47" t="s">
        <v>142</v>
      </c>
      <c r="C47" s="17" t="s">
        <v>168</v>
      </c>
      <c r="D47" s="17">
        <v>2023</v>
      </c>
      <c r="E47" s="17" t="s">
        <v>169</v>
      </c>
      <c r="G47" s="1" t="s">
        <v>129</v>
      </c>
      <c r="H47" t="s">
        <v>148</v>
      </c>
    </row>
    <row r="48" spans="1:8">
      <c r="A48" s="1">
        <v>47</v>
      </c>
      <c r="B48" t="s">
        <v>142</v>
      </c>
      <c r="C48" s="17" t="s">
        <v>176</v>
      </c>
      <c r="D48" s="17">
        <v>2020</v>
      </c>
      <c r="E48" s="17" t="s">
        <v>177</v>
      </c>
      <c r="G48" s="1" t="s">
        <v>129</v>
      </c>
      <c r="H48" t="s">
        <v>149</v>
      </c>
    </row>
    <row r="49" spans="1:8">
      <c r="A49" s="1">
        <v>48</v>
      </c>
      <c r="B49" t="s">
        <v>142</v>
      </c>
      <c r="C49" s="17" t="s">
        <v>170</v>
      </c>
      <c r="D49" s="17">
        <v>2023</v>
      </c>
      <c r="E49" s="17" t="s">
        <v>171</v>
      </c>
      <c r="F49" s="1" t="s">
        <v>129</v>
      </c>
      <c r="H49" t="s">
        <v>150</v>
      </c>
    </row>
    <row r="50" spans="1:8">
      <c r="A50" s="1">
        <v>49</v>
      </c>
      <c r="B50" t="s">
        <v>142</v>
      </c>
      <c r="C50" s="17" t="s">
        <v>172</v>
      </c>
      <c r="D50" s="17">
        <v>2023</v>
      </c>
      <c r="E50" s="17" t="s">
        <v>173</v>
      </c>
      <c r="F50" s="1" t="s">
        <v>129</v>
      </c>
      <c r="H50" t="s">
        <v>151</v>
      </c>
    </row>
    <row r="51" spans="1:8">
      <c r="A51" s="1">
        <v>50</v>
      </c>
      <c r="B51" t="s">
        <v>142</v>
      </c>
      <c r="C51" s="17" t="s">
        <v>174</v>
      </c>
      <c r="D51" s="17">
        <v>2023</v>
      </c>
      <c r="E51" s="17" t="s">
        <v>175</v>
      </c>
      <c r="F51" s="1" t="s">
        <v>129</v>
      </c>
      <c r="H51" t="s">
        <v>152</v>
      </c>
    </row>
    <row r="52" spans="1:8">
      <c r="A52" s="1">
        <v>51</v>
      </c>
      <c r="B52" t="s">
        <v>194</v>
      </c>
      <c r="C52" s="17" t="s">
        <v>195</v>
      </c>
      <c r="D52" s="17">
        <v>2023</v>
      </c>
      <c r="E52" s="17" t="s">
        <v>196</v>
      </c>
      <c r="F52" s="1" t="s">
        <v>129</v>
      </c>
      <c r="H52" t="s">
        <v>197</v>
      </c>
    </row>
    <row r="53" spans="1:8">
      <c r="A53" s="1">
        <v>52</v>
      </c>
      <c r="B53" t="s">
        <v>194</v>
      </c>
      <c r="C53" s="17" t="s">
        <v>198</v>
      </c>
      <c r="D53" s="17">
        <v>2024</v>
      </c>
      <c r="E53" s="17" t="s">
        <v>199</v>
      </c>
      <c r="F53" s="1" t="s">
        <v>129</v>
      </c>
      <c r="H53" t="s">
        <v>200</v>
      </c>
    </row>
    <row r="54" spans="1:8">
      <c r="A54" s="1">
        <v>53</v>
      </c>
      <c r="B54" t="s">
        <v>194</v>
      </c>
      <c r="C54" s="17" t="s">
        <v>202</v>
      </c>
      <c r="D54" s="17">
        <v>2023</v>
      </c>
      <c r="E54" s="17" t="s">
        <v>203</v>
      </c>
      <c r="G54" s="1" t="s">
        <v>129</v>
      </c>
      <c r="H54" t="s">
        <v>201</v>
      </c>
    </row>
    <row r="55" spans="1:8">
      <c r="A55" s="1">
        <v>54</v>
      </c>
      <c r="B55" t="s">
        <v>194</v>
      </c>
      <c r="C55" s="17" t="s">
        <v>206</v>
      </c>
      <c r="D55" s="17">
        <v>2023</v>
      </c>
      <c r="E55" s="17" t="s">
        <v>205</v>
      </c>
      <c r="G55" s="1" t="s">
        <v>129</v>
      </c>
      <c r="H55" t="s">
        <v>204</v>
      </c>
    </row>
    <row r="56" spans="1:8">
      <c r="A56" s="1">
        <v>55</v>
      </c>
      <c r="B56" t="s">
        <v>194</v>
      </c>
      <c r="C56" s="17" t="s">
        <v>209</v>
      </c>
      <c r="D56" s="17">
        <v>2022</v>
      </c>
      <c r="E56" s="17" t="s">
        <v>207</v>
      </c>
      <c r="G56" s="1" t="s">
        <v>129</v>
      </c>
      <c r="H56" t="s">
        <v>208</v>
      </c>
    </row>
    <row r="57" spans="1:8">
      <c r="A57" s="1">
        <v>56</v>
      </c>
      <c r="B57" t="s">
        <v>194</v>
      </c>
      <c r="C57" s="17" t="s">
        <v>210</v>
      </c>
      <c r="D57" s="17">
        <v>2025</v>
      </c>
      <c r="E57" s="17" t="s">
        <v>211</v>
      </c>
      <c r="G57" s="1" t="s">
        <v>129</v>
      </c>
      <c r="H57" t="s">
        <v>212</v>
      </c>
    </row>
    <row r="58" spans="1:8">
      <c r="A58" s="1">
        <v>57</v>
      </c>
      <c r="B58" t="s">
        <v>194</v>
      </c>
      <c r="C58" s="17" t="s">
        <v>213</v>
      </c>
      <c r="D58" s="17">
        <v>2020</v>
      </c>
      <c r="E58" s="17" t="s">
        <v>214</v>
      </c>
      <c r="G58" s="1" t="s">
        <v>129</v>
      </c>
      <c r="H58" t="s">
        <v>215</v>
      </c>
    </row>
    <row r="59" spans="1:8">
      <c r="A59" s="1">
        <v>58</v>
      </c>
      <c r="B59" t="s">
        <v>194</v>
      </c>
      <c r="C59" s="17" t="s">
        <v>216</v>
      </c>
      <c r="D59" s="17">
        <v>2022</v>
      </c>
      <c r="E59" s="17" t="s">
        <v>217</v>
      </c>
      <c r="G59" s="1" t="s">
        <v>129</v>
      </c>
      <c r="H59" t="s">
        <v>218</v>
      </c>
    </row>
    <row r="60" spans="1:8">
      <c r="A60" s="1">
        <v>59</v>
      </c>
      <c r="B60" t="s">
        <v>194</v>
      </c>
      <c r="C60" s="17" t="s">
        <v>219</v>
      </c>
      <c r="D60" s="17">
        <v>2025</v>
      </c>
      <c r="E60" s="17" t="s">
        <v>220</v>
      </c>
      <c r="G60" s="1" t="s">
        <v>129</v>
      </c>
      <c r="H60" t="s">
        <v>221</v>
      </c>
    </row>
    <row r="61" spans="1:8">
      <c r="A61" s="1">
        <v>60</v>
      </c>
      <c r="B61" t="s">
        <v>194</v>
      </c>
      <c r="C61" s="17" t="s">
        <v>195</v>
      </c>
      <c r="D61" s="17">
        <v>2023</v>
      </c>
      <c r="E61" s="17" t="s">
        <v>196</v>
      </c>
      <c r="F61" s="1" t="s">
        <v>129</v>
      </c>
      <c r="H61" t="s">
        <v>197</v>
      </c>
    </row>
    <row r="62" spans="1:8">
      <c r="A62" s="1">
        <v>61</v>
      </c>
      <c r="B62" t="s">
        <v>194</v>
      </c>
      <c r="C62" s="17" t="s">
        <v>222</v>
      </c>
      <c r="D62" s="17">
        <v>2020</v>
      </c>
      <c r="E62" s="17" t="s">
        <v>223</v>
      </c>
      <c r="F62" s="1" t="s">
        <v>129</v>
      </c>
      <c r="H62" t="s">
        <v>224</v>
      </c>
    </row>
    <row r="63" spans="1:8">
      <c r="A63" s="1">
        <v>62</v>
      </c>
      <c r="B63" t="s">
        <v>194</v>
      </c>
      <c r="C63" s="17" t="s">
        <v>225</v>
      </c>
      <c r="D63" s="17">
        <v>2023</v>
      </c>
      <c r="E63" s="17" t="s">
        <v>226</v>
      </c>
      <c r="F63" s="1" t="s">
        <v>129</v>
      </c>
      <c r="H63" t="s">
        <v>227</v>
      </c>
    </row>
    <row r="64" spans="1:8">
      <c r="A64" s="1">
        <v>63</v>
      </c>
      <c r="B64" t="s">
        <v>194</v>
      </c>
      <c r="C64" s="17" t="s">
        <v>228</v>
      </c>
      <c r="D64" s="17">
        <v>2024</v>
      </c>
      <c r="E64" s="17" t="s">
        <v>229</v>
      </c>
      <c r="F64" s="1" t="s">
        <v>129</v>
      </c>
      <c r="H64" s="3" t="s">
        <v>230</v>
      </c>
    </row>
    <row r="65" spans="1:8">
      <c r="A65" s="1">
        <v>64</v>
      </c>
      <c r="B65" t="s">
        <v>194</v>
      </c>
      <c r="C65" s="17" t="s">
        <v>231</v>
      </c>
      <c r="D65" s="17">
        <v>2024</v>
      </c>
      <c r="E65" s="17" t="s">
        <v>232</v>
      </c>
      <c r="G65" s="1" t="s">
        <v>129</v>
      </c>
      <c r="H65" t="s">
        <v>233</v>
      </c>
    </row>
    <row r="66" spans="1:8">
      <c r="A66" s="1">
        <v>65</v>
      </c>
      <c r="B66" t="s">
        <v>194</v>
      </c>
      <c r="C66" s="17" t="s">
        <v>234</v>
      </c>
      <c r="D66" s="17">
        <v>2020</v>
      </c>
      <c r="E66" s="17" t="s">
        <v>236</v>
      </c>
      <c r="F66" s="1" t="s">
        <v>129</v>
      </c>
      <c r="H66" t="s">
        <v>235</v>
      </c>
    </row>
  </sheetData>
  <hyperlinks>
    <hyperlink ref="H13" r:id="rId1"/>
    <hyperlink ref="E2" r:id="rId2" display="https://bdtd.ibict.br/vufind/Author/Home?author=Sayad%2C+Alexandre+Le+Voci"/>
    <hyperlink ref="E3" r:id="rId3" display="https://bdtd.ibict.br/vufind/Author/Home?author=Oliveira%2C+Nahema+Nascimento+Falleiros+Barra+de"/>
    <hyperlink ref="E4" r:id="rId4" display="https://bdtd.ibict.br/vufind/Author/Home?author=VERONICA+DA+ROCHA+WEAVER"/>
    <hyperlink ref="E5" r:id="rId5" display="https://bdtd.ibict.br/vufind/Author/Home?author=VALE%2C+K%C3%A1dna+Maria+Alves+Camboim"/>
    <hyperlink ref="E6" r:id="rId6" display="https://bdtd.ibict.br/vufind/Author/Home?author=Dias%2C+Jorgi+Luiz+Bolonhezi"/>
    <hyperlink ref="E7" r:id="rId7" display="https://bdtd.ibict.br/vufind/Author/Home?author=Mosaiyebzadeh%2C+Fatemeh"/>
    <hyperlink ref="E8" r:id="rId8" display="https://bdtd.ibict.br/vufind/Author/Home?author=Storti%2C+Gabriel+Jos%C3%A9%2C+1985-"/>
    <hyperlink ref="E9" r:id="rId9" display="https://bdtd.ibict.br/vufind/Author/Home?author=Silva%2C+Fernanda+de+S%C3%A1+da"/>
    <hyperlink ref="E10" r:id="rId10" display="https://bdtd.ibict.br/vufind/Author/Home?author=Scutari%2C+Victor+de+Paula"/>
    <hyperlink ref="E11" r:id="rId11" display="https://bdtd.ibict.br/vufind/Author/Home?author=Rocha%2C+Ana+Carolina+Martins"/>
    <hyperlink ref="E12" r:id="rId12" display="https://bdtd.ibict.br/vufind/Author/Home?author=Silva%2C+Adriane+Toledo+da"/>
    <hyperlink ref="E13" r:id="rId13" display="https://bdtd.ibict.br/vufind/Author/Home?author=Campos%2C+Isadora+Marcela+de"/>
    <hyperlink ref="E14" r:id="rId14" display="https://bdtd.ibict.br/vufind/Author/Home?author=Aguiar%2C+Caroline+Boletta+de+Oliveira"/>
    <hyperlink ref="E15" r:id="rId15" display="https://bdtd.ibict.br/vufind/Author/Home?author=Silva%2C+Fredson+Pereira+Da"/>
    <hyperlink ref="E16" r:id="rId16" display="https://bdtd.ibict.br/vufind/Author/Home?author=Arthur+Mariano+Peixoto"/>
    <hyperlink ref="E17" r:id="rId17" display="https://bdtd.ibict.br/vufind/Author/Home?author=Silva%2C+Ryan+de+Albuquerque+da"/>
    <hyperlink ref="E18" r:id="rId18" display="https://bdtd.ibict.br/vufind/Author/Home?author=Oliveira%2C+Tadeu+Ferreira"/>
    <hyperlink ref="E19" r:id="rId19" display="https://bdtd.ibict.br/vufind/Author/Home?author=Carvalho%2C+Marina+Morais+de"/>
    <hyperlink ref="E20" r:id="rId20" display="https://bdtd.ibict.br/vufind/Author/Home?author=REIS%2C+Thiago+Nelson+Faria+dos"/>
    <hyperlink ref="E21" r:id="rId21" display="https://bdtd.ibict.br/vufind/Author/Home?author=Aguiar%2C+Raphael+Alves+de"/>
    <hyperlink ref="E22" r:id="rId22" display="https://bdtd.ibict.br/vufind/Author/Home?author=Pfeil%2C+Andr%C3%A9+Jorge+Cavallo"/>
    <hyperlink ref="E23" r:id="rId23" display="https://bdtd.ibict.br/vufind/Author/Home?author=Patricio%2C+Thiago+Seti+%5BUNESP%5D"/>
    <hyperlink ref="E24" r:id="rId24" display="https://bdtd.ibict.br/vufind/Author/Home?author=Jorge+Emilio+da+Costa+Walder"/>
    <hyperlink ref="E25" r:id="rId25" display="https://bdtd.ibict.br/vufind/Author/Home?author=Merc%C3%AAs%2C+Guilherme+Jansen+Lacerda+%5BUNIFESP%5D"/>
    <hyperlink ref="E26" r:id="rId26" display="https://bdtd.ibict.br/vufind/Author/Home?author=Cechin%2C+Lenice+Medianeira"/>
    <hyperlink ref="E27" r:id="rId27" display="https://bdtd.ibict.br/vufind/Author/Home?author=Domeneghini%2C+Daiana"/>
    <hyperlink ref="E28" r:id="rId28" display="https://bdtd.ibict.br/vufind/Author/Home?author=PESSOA%2C+Mirella+Ramos+Costa"/>
    <hyperlink ref="E29" r:id="rId29" display="https://bdtd.ibict.br/vufind/Author/Home?author=Silva%2C+Lucas+Ferreira+da"/>
    <hyperlink ref="E32" r:id="rId30" display="https://bdtd.ibict.br/vufind/Author/Home?author=Santos%2C+Patrick+Renilton+Amorim+dos"/>
    <hyperlink ref="E33" r:id="rId31" display="https://bdtd.ibict.br/vufind/Author/Home?author=Silva%2C+Samira+Andrade+da"/>
    <hyperlink ref="E34" r:id="rId32" display="https://bdtd.ibict.br/vufind/Author/Home?author=Zylbersztajn%2C+Mois%C3%A9s"/>
    <hyperlink ref="E35" r:id="rId33" display="https://bdtd.ibict.br/vufind/Author/Home?author=Bessa%2C+M%C3%A1rcia+Cristina+Fernandes+Pereira"/>
    <hyperlink ref="E36" r:id="rId34" display="https://bdtd.ibict.br/vufind/Author/Home?author=Santos%2C+Fabiano+Pereira+dos"/>
    <hyperlink ref="E37" r:id="rId35" display="https://bdtd.ibict.br/vufind/Author/Home?author=Darius%2C+Rebeca+Pizza+Pancotte+%5BUNESP%5D"/>
    <hyperlink ref="E52" r:id="rId36" display="https://www-webofscience-com.ez87.periodicos.capes.gov.br/wos/pqdt/general-summary?queryJson=%5B%7B%22rowBoolean%22:null,%22rowField%22:%22AU%22,%22rowText%22:%22Joppert,%20Marcia%22%7D%5D&amp;eventMode=oneClickSearch"/>
    <hyperlink ref="E53" r:id="rId37" display="https://www-webofscience-com.ez87.periodicos.capes.gov.br/wos/pqdt/general-summary?queryJson=%5B%7B%22rowBoolean%22:null,%22rowField%22:%22AU%22,%22rowText%22:%22Smith,%20Shaina%22%7D%5D&amp;eventMode=oneClickSearch"/>
    <hyperlink ref="E54" r:id="rId38" display="https://www-webofscience-com.ez87.periodicos.capes.gov.br/wos/pqdt/general-summary?queryJson=%5B%7B%22rowBoolean%22:null,%22rowField%22:%22AU%22,%22rowText%22:%22McMillan,%20Khaalid%22%7D%5D&amp;eventMode=oneClickSearch"/>
    <hyperlink ref="E55" r:id="rId39" display="https://www-webofscience-com.ez87.periodicos.capes.gov.br/wos/pqdt/general-summary?queryJson=%5B%7B%22rowBoolean%22:null,%22rowField%22:%22AU%22,%22rowText%22:%22Bridges,%20Lauren%22%7D%5D&amp;eventMode=oneClickSearch"/>
    <hyperlink ref="E56" r:id="rId40" display="https://www-webofscience-com.ez87.periodicos.capes.gov.br/wos/pqdt/general-summary?queryJson=%5B%7B%22rowBoolean%22:null,%22rowField%22:%22AU%22,%22rowText%22:%22Wilson,%20Imogen%20G.%22%7D%5D&amp;eventMode=oneClickSearch"/>
    <hyperlink ref="E57" r:id="rId41" display="https://www-webofscience-com.ez87.periodicos.capes.gov.br/wos/pqdt/general-summary?queryJson=%5B%7B%22rowBoolean%22:null,%22rowField%22:%22AU%22,%22rowText%22:%22Quinn,%20Adam%22%7D%5D&amp;eventMode=oneClickSearch"/>
    <hyperlink ref="E58" r:id="rId42" display="https://www-webofscience-com.ez87.periodicos.capes.gov.br/wos/pqdt/general-summary?queryJson=%5B%7B%22rowBoolean%22:null,%22rowField%22:%22AU%22,%22rowText%22:%22Pfeiffer,%20Jessica%22%7D%5D&amp;eventMode=oneClickSearch"/>
    <hyperlink ref="E59" r:id="rId43" display="https://www-webofscience-com.ez87.periodicos.capes.gov.br/wos/pqdt/general-summary?queryJson=%5B%7B%22rowBoolean%22:null,%22rowField%22:%22AU%22,%22rowText%22:%22Everman,%20Bradford%20W.%22%7D%5D&amp;eventMode=oneClickSearch"/>
    <hyperlink ref="E60" r:id="rId44" display="https://www-webofscience-com.ez87.periodicos.capes.gov.br/wos/pqdt/general-summary?queryJson=%5B%7B%22rowBoolean%22:null,%22rowField%22:%22AU%22,%22rowText%22:%22Soares,%20Ian%20Varela%22%7D%5D&amp;eventMode=oneClickSearch"/>
    <hyperlink ref="E61" r:id="rId45" display="https://www-webofscience-com.ez87.periodicos.capes.gov.br/wos/pqdt/general-summary?queryJson=%5B%7B%22rowBoolean%22:null,%22rowField%22:%22AU%22,%22rowText%22:%22Joppert,%20Marcia%22%7D%5D&amp;eventMode=oneClickSearch"/>
    <hyperlink ref="E62" r:id="rId46" display="https://www-webofscience-com.ez87.periodicos.capes.gov.br/wos/pqdt/general-summary?queryJson=%5B%7B%22rowBoolean%22:null,%22rowField%22:%22AU%22,%22rowText%22:%22Shanks,%20Kyle%20Wayne%22%7D%5D&amp;eventMode=oneClickSearch"/>
    <hyperlink ref="E63" r:id="rId47" display="https://www-webofscience-com.ez87.periodicos.capes.gov.br/wos/pqdt/general-summary?queryJson=%5B%7B%22rowBoolean%22:null,%22rowField%22:%22AU%22,%22rowText%22:%22Thomas,%20Colleen%20A.%22%7D%5D&amp;eventMode=oneClickSearch"/>
    <hyperlink ref="E64" r:id="rId48" display="https://www-webofscience-com.ez87.periodicos.capes.gov.br/wos/pqdt/general-summary?queryJson=%5B%7B%22rowBoolean%22:null,%22rowField%22:%22AU%22,%22rowText%22:%22Fanning,%20Sydney%22%7D%5D&amp;eventMode=oneClickSearch"/>
    <hyperlink ref="E66" r:id="rId49" display="https://www-webofscience-com.ez87.periodicos.capes.gov.br/wos/pqdt/general-summary?queryJson=%5B%7B%22rowBoolean%22:null,%22rowField%22:%22AU%22,%22rowText%22:%22Gravell,%20Jamie%20Dara%22%7D%5D&amp;eventMode=oneClickSearch"/>
    <hyperlink ref="H64" r:id="rId50"/>
  </hyperlinks>
  <pageMargins left="0.511811024" right="0.511811024" top="0.78740157499999996" bottom="0.78740157499999996" header="0.31496062000000002" footer="0.31496062000000002"/>
  <tableParts count="1">
    <tablePart r:id="rId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Descritores (2)</vt:lpstr>
      <vt:lpstr>(1) Pré Análise</vt:lpstr>
      <vt:lpstr>(2) Levantamento bibliográfico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Lippi</dc:creator>
  <cp:lastModifiedBy>RODRIGO</cp:lastModifiedBy>
  <dcterms:created xsi:type="dcterms:W3CDTF">2025-10-04T16:44:23Z</dcterms:created>
  <dcterms:modified xsi:type="dcterms:W3CDTF">2025-11-14T19:41:44Z</dcterms:modified>
</cp:coreProperties>
</file>